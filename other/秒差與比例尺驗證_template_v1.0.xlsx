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Documents\Project\運研所\other\"/>
    </mc:Choice>
  </mc:AlternateContent>
  <xr:revisionPtr revIDLastSave="0" documentId="13_ncr:1_{FC5097E6-931D-433E-9185-1E53B679B5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秒差與比例尺驗證模板" sheetId="19" r:id="rId1"/>
  </sheets>
  <calcPr calcId="191029"/>
</workbook>
</file>

<file path=xl/calcChain.xml><?xml version="1.0" encoding="utf-8"?>
<calcChain xmlns="http://schemas.openxmlformats.org/spreadsheetml/2006/main">
  <c r="V28" i="19" l="1"/>
  <c r="O44" i="19"/>
  <c r="O54" i="19" s="1"/>
  <c r="O45" i="19"/>
  <c r="O55" i="19" s="1"/>
  <c r="M79" i="19"/>
  <c r="Q79" i="19" s="1"/>
  <c r="M78" i="19"/>
  <c r="Q78" i="19" s="1"/>
  <c r="M77" i="19"/>
  <c r="Q77" i="19" s="1"/>
  <c r="M76" i="19"/>
  <c r="Q76" i="19" s="1"/>
  <c r="M75" i="19"/>
  <c r="Q75" i="19" s="1"/>
  <c r="M74" i="19"/>
  <c r="Q74" i="19" s="1"/>
  <c r="M73" i="19"/>
  <c r="Q73" i="19" s="1"/>
  <c r="M72" i="19"/>
  <c r="Q72" i="19" s="1"/>
  <c r="M69" i="19"/>
  <c r="Q69" i="19" s="1"/>
  <c r="M68" i="19"/>
  <c r="Q68" i="19" s="1"/>
  <c r="M67" i="19"/>
  <c r="Q67" i="19" s="1"/>
  <c r="M66" i="19"/>
  <c r="Q66" i="19" s="1"/>
  <c r="M65" i="19"/>
  <c r="Q65" i="19" s="1"/>
  <c r="M64" i="19"/>
  <c r="Q64" i="19" s="1"/>
  <c r="M63" i="19"/>
  <c r="Q63" i="19" s="1"/>
  <c r="M62" i="19"/>
  <c r="Q62" i="19" s="1"/>
  <c r="M59" i="19"/>
  <c r="Q59" i="19" s="1"/>
  <c r="M58" i="19"/>
  <c r="Q58" i="19" s="1"/>
  <c r="M57" i="19"/>
  <c r="Q57" i="19" s="1"/>
  <c r="M56" i="19"/>
  <c r="Q56" i="19" s="1"/>
  <c r="M55" i="19"/>
  <c r="M54" i="19"/>
  <c r="M53" i="19"/>
  <c r="Q53" i="19" s="1"/>
  <c r="M52" i="19"/>
  <c r="Q52" i="19" s="1"/>
  <c r="R49" i="19"/>
  <c r="O49" i="19"/>
  <c r="O59" i="19" s="1"/>
  <c r="M49" i="19"/>
  <c r="Q49" i="19" s="1"/>
  <c r="O48" i="19"/>
  <c r="O58" i="19" s="1"/>
  <c r="M48" i="19"/>
  <c r="Q48" i="19" s="1"/>
  <c r="O47" i="19"/>
  <c r="O57" i="19" s="1"/>
  <c r="M47" i="19"/>
  <c r="Q47" i="19" s="1"/>
  <c r="O46" i="19"/>
  <c r="O56" i="19" s="1"/>
  <c r="M46" i="19"/>
  <c r="Q46" i="19" s="1"/>
  <c r="M45" i="19"/>
  <c r="M44" i="19"/>
  <c r="Q44" i="19" s="1"/>
  <c r="O43" i="19"/>
  <c r="O53" i="19" s="1"/>
  <c r="M43" i="19"/>
  <c r="Q43" i="19" s="1"/>
  <c r="O42" i="19"/>
  <c r="O52" i="19" s="1"/>
  <c r="O62" i="19" s="1"/>
  <c r="M42" i="19"/>
  <c r="Q42" i="19" s="1"/>
  <c r="R39" i="19"/>
  <c r="M39" i="19"/>
  <c r="Q39" i="19" s="1"/>
  <c r="R38" i="19"/>
  <c r="M38" i="19"/>
  <c r="Q38" i="19" s="1"/>
  <c r="R37" i="19"/>
  <c r="M37" i="19"/>
  <c r="Q37" i="19" s="1"/>
  <c r="R36" i="19"/>
  <c r="M36" i="19"/>
  <c r="Q36" i="19" s="1"/>
  <c r="M35" i="19"/>
  <c r="Q35" i="19" s="1"/>
  <c r="M34" i="19"/>
  <c r="Q34" i="19" s="1"/>
  <c r="M33" i="19"/>
  <c r="Q33" i="19" s="1"/>
  <c r="M32" i="19"/>
  <c r="Q32" i="19" s="1"/>
  <c r="V25" i="19"/>
  <c r="N25" i="19"/>
  <c r="V24" i="19"/>
  <c r="N24" i="19"/>
  <c r="V23" i="19"/>
  <c r="N23" i="19"/>
  <c r="V22" i="19"/>
  <c r="N22" i="19"/>
  <c r="V21" i="19"/>
  <c r="W21" i="19" s="1"/>
  <c r="N21" i="19"/>
  <c r="AB11" i="19"/>
  <c r="Y11" i="19"/>
  <c r="W17" i="19" s="1"/>
  <c r="V11" i="19"/>
  <c r="S11" i="19"/>
  <c r="T17" i="19" s="1"/>
  <c r="N11" i="19"/>
  <c r="M25" i="19" s="1"/>
  <c r="O25" i="19" s="1"/>
  <c r="K11" i="19"/>
  <c r="AB10" i="19"/>
  <c r="U24" i="19" s="1"/>
  <c r="W24" i="19" s="1"/>
  <c r="Y10" i="19"/>
  <c r="V10" i="19"/>
  <c r="T16" i="19" s="1"/>
  <c r="S10" i="19"/>
  <c r="N10" i="19"/>
  <c r="K10" i="19"/>
  <c r="AB9" i="19"/>
  <c r="U23" i="19" s="1"/>
  <c r="W23" i="19" s="1"/>
  <c r="Y9" i="19"/>
  <c r="V9" i="19"/>
  <c r="S9" i="19"/>
  <c r="N9" i="19"/>
  <c r="M23" i="19" s="1"/>
  <c r="O23" i="19" s="1"/>
  <c r="K9" i="19"/>
  <c r="AB8" i="19"/>
  <c r="U22" i="19" s="1"/>
  <c r="W22" i="19" s="1"/>
  <c r="Y8" i="19"/>
  <c r="W14" i="19" s="1"/>
  <c r="V8" i="19"/>
  <c r="T14" i="19" s="1"/>
  <c r="S8" i="19"/>
  <c r="N8" i="19"/>
  <c r="K8" i="19"/>
  <c r="AB7" i="19"/>
  <c r="Y7" i="19"/>
  <c r="V7" i="19"/>
  <c r="S7" i="19"/>
  <c r="U21" i="19" s="1"/>
  <c r="N7" i="19"/>
  <c r="M21" i="19" s="1"/>
  <c r="O21" i="19" s="1"/>
  <c r="K7" i="19"/>
  <c r="I24" i="19" l="1"/>
  <c r="J24" i="19" s="1"/>
  <c r="F19" i="19" s="1"/>
  <c r="T13" i="19"/>
  <c r="I21" i="19" s="1"/>
  <c r="J21" i="19" s="1"/>
  <c r="F7" i="19" s="1"/>
  <c r="R47" i="19"/>
  <c r="V33" i="19"/>
  <c r="M24" i="19"/>
  <c r="O24" i="19" s="1"/>
  <c r="W16" i="19"/>
  <c r="Q24" i="19" s="1"/>
  <c r="S24" i="19" s="1"/>
  <c r="I22" i="19"/>
  <c r="J22" i="19" s="1"/>
  <c r="F11" i="19" s="1"/>
  <c r="M22" i="19"/>
  <c r="O22" i="19" s="1"/>
  <c r="T15" i="19"/>
  <c r="I23" i="19" s="1"/>
  <c r="J23" i="19" s="1"/>
  <c r="F15" i="19" s="1"/>
  <c r="W15" i="19"/>
  <c r="I25" i="19"/>
  <c r="J25" i="19" s="1"/>
  <c r="F23" i="19" s="1"/>
  <c r="Q45" i="19"/>
  <c r="Q54" i="19"/>
  <c r="Q55" i="19"/>
  <c r="S52" i="19" s="1"/>
  <c r="R42" i="19"/>
  <c r="R45" i="19"/>
  <c r="R35" i="19"/>
  <c r="R34" i="19"/>
  <c r="R33" i="19"/>
  <c r="R32" i="19"/>
  <c r="V30" i="19"/>
  <c r="R43" i="19"/>
  <c r="V29" i="19"/>
  <c r="Q25" i="19"/>
  <c r="S25" i="19" s="1"/>
  <c r="O66" i="19"/>
  <c r="R56" i="19"/>
  <c r="O68" i="19"/>
  <c r="R58" i="19"/>
  <c r="O64" i="19"/>
  <c r="R54" i="19"/>
  <c r="V35" i="19"/>
  <c r="R59" i="19"/>
  <c r="O69" i="19"/>
  <c r="Q22" i="19"/>
  <c r="S22" i="19" s="1"/>
  <c r="R57" i="19"/>
  <c r="O67" i="19"/>
  <c r="V31" i="19"/>
  <c r="S62" i="19"/>
  <c r="S72" i="19"/>
  <c r="V32" i="19"/>
  <c r="R55" i="19"/>
  <c r="O65" i="19"/>
  <c r="R53" i="19"/>
  <c r="O63" i="19"/>
  <c r="O72" i="19"/>
  <c r="R72" i="19" s="1"/>
  <c r="R62" i="19"/>
  <c r="S42" i="19"/>
  <c r="R48" i="19"/>
  <c r="S32" i="19"/>
  <c r="U25" i="19"/>
  <c r="W25" i="19" s="1"/>
  <c r="R46" i="19"/>
  <c r="R44" i="19"/>
  <c r="R52" i="19"/>
  <c r="W13" i="19"/>
  <c r="Q21" i="19" s="1"/>
  <c r="S21" i="19" s="1"/>
  <c r="V34" i="19" l="1"/>
  <c r="Q23" i="19"/>
  <c r="S23" i="19" s="1"/>
  <c r="R64" i="19"/>
  <c r="O74" i="19"/>
  <c r="R74" i="19" s="1"/>
  <c r="R63" i="19"/>
  <c r="O73" i="19"/>
  <c r="R73" i="19" s="1"/>
  <c r="R67" i="19"/>
  <c r="O77" i="19"/>
  <c r="R77" i="19" s="1"/>
  <c r="R65" i="19"/>
  <c r="O75" i="19"/>
  <c r="R75" i="19" s="1"/>
  <c r="R68" i="19"/>
  <c r="O78" i="19"/>
  <c r="R78" i="19" s="1"/>
  <c r="R69" i="19"/>
  <c r="O79" i="19"/>
  <c r="R79" i="19" s="1"/>
  <c r="R66" i="19"/>
  <c r="O76" i="19"/>
  <c r="R76" i="19" s="1"/>
</calcChain>
</file>

<file path=xl/sharedStrings.xml><?xml version="1.0" encoding="utf-8"?>
<sst xmlns="http://schemas.openxmlformats.org/spreadsheetml/2006/main" count="174" uniqueCount="77">
  <si>
    <t>A</t>
  </si>
  <si>
    <t>日期：</t>
  </si>
  <si>
    <t>B</t>
  </si>
  <si>
    <t>地點：</t>
  </si>
  <si>
    <t>C</t>
  </si>
  <si>
    <t>D</t>
  </si>
  <si>
    <t>無人機起飛</t>
  </si>
  <si>
    <t>無人機降落</t>
  </si>
  <si>
    <t>側拍開始拍攝 AtomicClock</t>
  </si>
  <si>
    <t>第一次A入口綠燈時間</t>
  </si>
  <si>
    <t>第二次A入口綠燈時間</t>
  </si>
  <si>
    <t>側拍結束拍攝 AtomicClock</t>
  </si>
  <si>
    <t>影格</t>
  </si>
  <si>
    <t>開始拍攝時間</t>
  </si>
  <si>
    <t>片頭刪除影格數</t>
  </si>
  <si>
    <t>後處理秒差</t>
  </si>
  <si>
    <t>無人機影片時間</t>
  </si>
  <si>
    <t>FPS</t>
  </si>
  <si>
    <t>Time</t>
  </si>
  <si>
    <t>號誌側拍影片</t>
  </si>
  <si>
    <t>影片一：</t>
  </si>
  <si>
    <t>影片二：</t>
  </si>
  <si>
    <r>
      <rPr>
        <b/>
        <sz val="12"/>
        <color theme="0"/>
        <rFont val="Times New Roman"/>
        <family val="1"/>
      </rPr>
      <t>AtomicClock</t>
    </r>
    <r>
      <rPr>
        <b/>
        <sz val="12"/>
        <color theme="0"/>
        <rFont val="標楷體"/>
        <family val="4"/>
        <charset val="136"/>
      </rPr>
      <t xml:space="preserve"> 時間</t>
    </r>
  </si>
  <si>
    <t>影片三：</t>
  </si>
  <si>
    <t>影片四：</t>
  </si>
  <si>
    <t>原片秒差</t>
  </si>
  <si>
    <t>無人機與AtomicClock時間驗證</t>
  </si>
  <si>
    <t>AtomicClock號誌週期時間驗證</t>
  </si>
  <si>
    <t>秒差計算時間驗證</t>
  </si>
  <si>
    <t>無人機影片差</t>
  </si>
  <si>
    <r>
      <rPr>
        <b/>
        <sz val="12"/>
        <color theme="0"/>
        <rFont val="Times New Roman"/>
        <family val="1"/>
      </rPr>
      <t>AtomicClock</t>
    </r>
    <r>
      <rPr>
        <b/>
        <sz val="12"/>
        <color theme="0"/>
        <rFont val="標楷體"/>
        <family val="4"/>
        <charset val="136"/>
      </rPr>
      <t>時間差</t>
    </r>
  </si>
  <si>
    <t>誤差(&lt;0.3)</t>
  </si>
  <si>
    <t>側拍號誌時間差</t>
  </si>
  <si>
    <t>號誌週期</t>
  </si>
  <si>
    <t>側拍影片時間差</t>
  </si>
  <si>
    <t>側拍AtomicClock時間差</t>
  </si>
  <si>
    <t>影片秒差</t>
  </si>
  <si>
    <t>驗證1</t>
  </si>
  <si>
    <t>驗證2</t>
  </si>
  <si>
    <t>驗證3</t>
  </si>
  <si>
    <t>影片五：</t>
  </si>
  <si>
    <t>*各影片量測順序需相同</t>
  </si>
  <si>
    <t>平均影片1比例尺：</t>
  </si>
  <si>
    <t>比例尺計算</t>
  </si>
  <si>
    <t>比例尺驗證</t>
  </si>
  <si>
    <t>平均影片2比例尺：</t>
  </si>
  <si>
    <t>影片1</t>
  </si>
  <si>
    <t>平均影片3比例尺：</t>
  </si>
  <si>
    <t>POI</t>
  </si>
  <si>
    <t>x1座標</t>
  </si>
  <si>
    <t>y1座標</t>
  </si>
  <si>
    <t>x2座標</t>
  </si>
  <si>
    <t>y2座標</t>
  </si>
  <si>
    <t>畫面距離(Pixel)</t>
  </si>
  <si>
    <t>測距輪距離(m)</t>
  </si>
  <si>
    <t>Pixel to Meter</t>
  </si>
  <si>
    <t>Meter to Pixel</t>
  </si>
  <si>
    <r>
      <rPr>
        <b/>
        <sz val="12"/>
        <color theme="0"/>
        <rFont val="Times new romen"/>
      </rPr>
      <t>Maximum Difference (</t>
    </r>
    <r>
      <rPr>
        <b/>
        <sz val="12"/>
        <color theme="0"/>
        <rFont val="細明體"/>
        <family val="3"/>
        <charset val="136"/>
      </rPr>
      <t>&lt;0.03)</t>
    </r>
  </si>
  <si>
    <t>平均影片4比例尺：</t>
  </si>
  <si>
    <t>平均影片5比例尺：</t>
  </si>
  <si>
    <t>平均驗證1誤差：</t>
  </si>
  <si>
    <t>平均驗證2誤差：</t>
  </si>
  <si>
    <t>平均驗證3誤差：</t>
  </si>
  <si>
    <t>E</t>
  </si>
  <si>
    <t>F</t>
  </si>
  <si>
    <t>G</t>
  </si>
  <si>
    <t>H</t>
  </si>
  <si>
    <t>影片2</t>
  </si>
  <si>
    <t>影片3</t>
  </si>
  <si>
    <t>影片4</t>
  </si>
  <si>
    <t>影片5</t>
  </si>
  <si>
    <t>5468x2824</t>
    <phoneticPr fontId="18" type="noConversion"/>
  </si>
  <si>
    <t>5448x3048</t>
    <phoneticPr fontId="18" type="noConversion"/>
  </si>
  <si>
    <t>5456x3052</t>
    <phoneticPr fontId="18" type="noConversion"/>
  </si>
  <si>
    <r>
      <rPr>
        <sz val="10"/>
        <color theme="1"/>
        <rFont val="微軟正黑體"/>
        <family val="2"/>
        <charset val="136"/>
      </rPr>
      <t>5452</t>
    </r>
    <r>
      <rPr>
        <sz val="10"/>
        <color theme="1"/>
        <rFont val="Arial"/>
        <family val="2"/>
      </rPr>
      <t>x3056</t>
    </r>
    <phoneticPr fontId="18" type="noConversion"/>
  </si>
  <si>
    <r>
      <rPr>
        <sz val="10"/>
        <color theme="1"/>
        <rFont val="微軟正黑體"/>
        <family val="2"/>
        <charset val="136"/>
      </rPr>
      <t>5076</t>
    </r>
    <r>
      <rPr>
        <sz val="10"/>
        <color theme="1"/>
        <rFont val="Arial"/>
        <family val="2"/>
      </rPr>
      <t>x3064</t>
    </r>
    <phoneticPr fontId="18" type="noConversion"/>
  </si>
  <si>
    <t>500m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</si>
</sst>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hh:mm:ss.00"/>
    <numFmt numFmtId="177" formatCode="0.00000"/>
    <numFmt numFmtId="178" formatCode="0.0000"/>
    <numFmt numFmtId="179" formatCode="0.0000%"/>
    <numFmt numFmtId="180" formatCode="m/d"/>
  </numFmts>
  <fonts count="2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theme="0"/>
      <name val="DFKai-SB"/>
      <family val="4"/>
      <charset val="136"/>
    </font>
    <font>
      <sz val="10"/>
      <name val="Arial"/>
      <family val="2"/>
    </font>
    <font>
      <sz val="12"/>
      <color theme="1"/>
      <name val="Arial"/>
      <family val="2"/>
    </font>
    <font>
      <b/>
      <sz val="12"/>
      <color theme="0"/>
      <name val="Times New Roman"/>
      <family val="1"/>
    </font>
    <font>
      <sz val="12"/>
      <color rgb="FF000000"/>
      <name val="Arial"/>
      <family val="2"/>
    </font>
    <font>
      <sz val="12"/>
      <color theme="1"/>
      <name val="DFKai-SB"/>
      <family val="4"/>
      <charset val="136"/>
    </font>
    <font>
      <sz val="10"/>
      <color rgb="FF000000"/>
      <name val="Arial"/>
      <family val="2"/>
    </font>
    <font>
      <sz val="12"/>
      <color rgb="FFC00000"/>
      <name val="DFKai-SB"/>
      <family val="4"/>
      <charset val="136"/>
    </font>
    <font>
      <sz val="16"/>
      <color rgb="FFC00000"/>
      <name val="Times New Roman"/>
      <family val="1"/>
    </font>
    <font>
      <b/>
      <sz val="12"/>
      <color theme="1"/>
      <name val="DFKai-SB"/>
      <family val="4"/>
      <charset val="136"/>
    </font>
    <font>
      <b/>
      <sz val="12"/>
      <color theme="0"/>
      <name val="Times"/>
    </font>
    <font>
      <sz val="10"/>
      <color rgb="FF000000"/>
      <name val="微軟正黑體"/>
      <family val="2"/>
      <charset val="136"/>
    </font>
    <font>
      <sz val="10"/>
      <color theme="1"/>
      <name val="Arial"/>
      <family val="2"/>
    </font>
    <font>
      <b/>
      <sz val="12"/>
      <color theme="0"/>
      <name val="標楷體"/>
      <family val="4"/>
      <charset val="136"/>
    </font>
    <font>
      <b/>
      <sz val="12"/>
      <color theme="0"/>
      <name val="Times new romen"/>
    </font>
    <font>
      <b/>
      <sz val="12"/>
      <color theme="0"/>
      <name val="細明體"/>
      <family val="3"/>
      <charset val="136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charset val="136"/>
    </font>
    <font>
      <sz val="10"/>
      <color theme="1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990000"/>
        <bgColor rgb="FF990000"/>
      </patternFill>
    </fill>
    <fill>
      <patternFill patternType="solid">
        <fgColor rgb="FFCFE2F3"/>
        <bgColor rgb="FFCFE2F3"/>
      </patternFill>
    </fill>
  </fills>
  <borders count="7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theme="1"/>
      </left>
      <right style="thin">
        <color rgb="FF000000"/>
      </right>
      <top style="medium">
        <color theme="1"/>
      </top>
      <bottom style="thin">
        <color rgb="FF000000"/>
      </bottom>
      <diagonal/>
    </border>
    <border>
      <left style="thin">
        <color rgb="FF000000"/>
      </left>
      <right/>
      <top style="medium">
        <color theme="1"/>
      </top>
      <bottom style="thin">
        <color rgb="FF000000"/>
      </bottom>
      <diagonal/>
    </border>
    <border>
      <left/>
      <right/>
      <top style="medium">
        <color theme="1"/>
      </top>
      <bottom style="thin">
        <color rgb="FF000000"/>
      </bottom>
      <diagonal/>
    </border>
    <border>
      <left/>
      <right style="thin">
        <color rgb="FF000000"/>
      </right>
      <top style="medium">
        <color theme="1"/>
      </top>
      <bottom style="thin">
        <color rgb="FF000000"/>
      </bottom>
      <diagonal/>
    </border>
    <border>
      <left/>
      <right/>
      <top style="medium">
        <color theme="1"/>
      </top>
      <bottom style="thin">
        <color rgb="FF000000"/>
      </bottom>
      <diagonal/>
    </border>
    <border>
      <left/>
      <right style="medium">
        <color theme="1"/>
      </right>
      <top style="medium">
        <color theme="1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theme="1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theme="1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theme="1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theme="1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theme="1"/>
      </left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theme="1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theme="1"/>
      </left>
      <right style="thin">
        <color rgb="FF000000"/>
      </right>
      <top/>
      <bottom style="medium">
        <color theme="1"/>
      </bottom>
      <diagonal/>
    </border>
    <border>
      <left style="thin">
        <color rgb="FF000000"/>
      </left>
      <right/>
      <top style="thin">
        <color rgb="FF000000"/>
      </top>
      <bottom style="medium">
        <color theme="1"/>
      </bottom>
      <diagonal/>
    </border>
    <border>
      <left/>
      <right/>
      <top style="thin">
        <color rgb="FF000000"/>
      </top>
      <bottom style="medium">
        <color theme="1"/>
      </bottom>
      <diagonal/>
    </border>
    <border>
      <left/>
      <right style="thin">
        <color rgb="FF000000"/>
      </right>
      <top style="thin">
        <color rgb="FF000000"/>
      </top>
      <bottom style="medium">
        <color theme="1"/>
      </bottom>
      <diagonal/>
    </border>
    <border>
      <left/>
      <right style="medium">
        <color theme="1"/>
      </right>
      <top style="thin">
        <color rgb="FF000000"/>
      </top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theme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2" borderId="1" xfId="0" applyFont="1" applyFill="1" applyBorder="1" applyAlignment="1">
      <alignment horizontal="right"/>
    </xf>
    <xf numFmtId="176" fontId="4" fillId="0" borderId="0" xfId="0" applyNumberFormat="1" applyFont="1"/>
    <xf numFmtId="0" fontId="2" fillId="2" borderId="4" xfId="0" applyFont="1" applyFill="1" applyBorder="1" applyAlignment="1">
      <alignment horizontal="right"/>
    </xf>
    <xf numFmtId="0" fontId="2" fillId="2" borderId="1" xfId="0" applyFont="1" applyFill="1" applyBorder="1"/>
    <xf numFmtId="0" fontId="2" fillId="2" borderId="9" xfId="0" applyFont="1" applyFill="1" applyBorder="1"/>
    <xf numFmtId="0" fontId="4" fillId="0" borderId="15" xfId="0" applyFont="1" applyBorder="1"/>
    <xf numFmtId="0" fontId="2" fillId="2" borderId="16" xfId="0" applyFont="1" applyFill="1" applyBorder="1" applyAlignment="1">
      <alignment horizontal="right"/>
    </xf>
    <xf numFmtId="0" fontId="2" fillId="2" borderId="17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2" fillId="2" borderId="23" xfId="0" applyFont="1" applyFill="1" applyBorder="1"/>
    <xf numFmtId="0" fontId="4" fillId="3" borderId="24" xfId="0" applyFont="1" applyFill="1" applyBorder="1"/>
    <xf numFmtId="0" fontId="7" fillId="3" borderId="19" xfId="0" applyFont="1" applyFill="1" applyBorder="1"/>
    <xf numFmtId="176" fontId="7" fillId="0" borderId="19" xfId="0" applyNumberFormat="1" applyFont="1" applyBorder="1"/>
    <xf numFmtId="176" fontId="7" fillId="0" borderId="20" xfId="0" applyNumberFormat="1" applyFont="1" applyBorder="1"/>
    <xf numFmtId="176" fontId="7" fillId="0" borderId="22" xfId="0" applyNumberFormat="1" applyFont="1" applyBorder="1"/>
    <xf numFmtId="0" fontId="7" fillId="3" borderId="19" xfId="0" applyFont="1" applyFill="1" applyBorder="1" applyAlignment="1">
      <alignment horizontal="right"/>
    </xf>
    <xf numFmtId="0" fontId="2" fillId="2" borderId="28" xfId="0" applyFont="1" applyFill="1" applyBorder="1"/>
    <xf numFmtId="0" fontId="4" fillId="3" borderId="29" xfId="0" applyFont="1" applyFill="1" applyBorder="1"/>
    <xf numFmtId="0" fontId="4" fillId="3" borderId="31" xfId="0" applyFont="1" applyFill="1" applyBorder="1"/>
    <xf numFmtId="0" fontId="7" fillId="3" borderId="34" xfId="0" applyFont="1" applyFill="1" applyBorder="1"/>
    <xf numFmtId="176" fontId="7" fillId="0" borderId="34" xfId="0" applyNumberFormat="1" applyFont="1" applyBorder="1"/>
    <xf numFmtId="176" fontId="7" fillId="0" borderId="35" xfId="0" applyNumberFormat="1" applyFont="1" applyBorder="1"/>
    <xf numFmtId="176" fontId="7" fillId="0" borderId="37" xfId="0" applyNumberFormat="1" applyFont="1" applyBorder="1"/>
    <xf numFmtId="0" fontId="2" fillId="2" borderId="42" xfId="0" applyFont="1" applyFill="1" applyBorder="1"/>
    <xf numFmtId="0" fontId="2" fillId="2" borderId="58" xfId="0" applyFont="1" applyFill="1" applyBorder="1"/>
    <xf numFmtId="0" fontId="2" fillId="2" borderId="59" xfId="0" applyFont="1" applyFill="1" applyBorder="1" applyAlignment="1">
      <alignment horizontal="center"/>
    </xf>
    <xf numFmtId="0" fontId="2" fillId="2" borderId="60" xfId="0" applyFont="1" applyFill="1" applyBorder="1" applyAlignment="1">
      <alignment horizontal="center"/>
    </xf>
    <xf numFmtId="0" fontId="2" fillId="2" borderId="61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2" fillId="2" borderId="63" xfId="0" applyFont="1" applyFill="1" applyBorder="1"/>
    <xf numFmtId="176" fontId="7" fillId="0" borderId="19" xfId="0" applyNumberFormat="1" applyFont="1" applyBorder="1" applyAlignment="1">
      <alignment horizontal="right"/>
    </xf>
    <xf numFmtId="176" fontId="7" fillId="0" borderId="20" xfId="0" applyNumberFormat="1" applyFont="1" applyBorder="1" applyAlignment="1">
      <alignment horizontal="right"/>
    </xf>
    <xf numFmtId="176" fontId="7" fillId="3" borderId="64" xfId="0" applyNumberFormat="1" applyFont="1" applyFill="1" applyBorder="1" applyAlignment="1">
      <alignment vertical="center"/>
    </xf>
    <xf numFmtId="176" fontId="7" fillId="4" borderId="64" xfId="0" applyNumberFormat="1" applyFont="1" applyFill="1" applyBorder="1" applyAlignment="1">
      <alignment horizontal="right" vertical="center"/>
    </xf>
    <xf numFmtId="176" fontId="7" fillId="4" borderId="64" xfId="0" applyNumberFormat="1" applyFont="1" applyFill="1" applyBorder="1" applyAlignment="1">
      <alignment vertical="center"/>
    </xf>
    <xf numFmtId="176" fontId="7" fillId="0" borderId="34" xfId="0" applyNumberFormat="1" applyFont="1" applyBorder="1" applyAlignment="1">
      <alignment horizontal="right"/>
    </xf>
    <xf numFmtId="176" fontId="7" fillId="3" borderId="34" xfId="0" applyNumberFormat="1" applyFont="1" applyFill="1" applyBorder="1" applyAlignment="1">
      <alignment vertical="center"/>
    </xf>
    <xf numFmtId="176" fontId="7" fillId="4" borderId="34" xfId="0" applyNumberFormat="1" applyFont="1" applyFill="1" applyBorder="1" applyAlignment="1">
      <alignment vertical="center"/>
    </xf>
    <xf numFmtId="0" fontId="2" fillId="5" borderId="65" xfId="0" applyFont="1" applyFill="1" applyBorder="1"/>
    <xf numFmtId="0" fontId="9" fillId="0" borderId="0" xfId="0" applyFont="1" applyAlignment="1">
      <alignment horizontal="right"/>
    </xf>
    <xf numFmtId="0" fontId="12" fillId="2" borderId="63" xfId="0" applyFont="1" applyFill="1" applyBorder="1" applyAlignment="1">
      <alignment horizontal="center"/>
    </xf>
    <xf numFmtId="0" fontId="12" fillId="2" borderId="59" xfId="0" applyFont="1" applyFill="1" applyBorder="1" applyAlignment="1">
      <alignment horizontal="center"/>
    </xf>
    <xf numFmtId="0" fontId="12" fillId="2" borderId="60" xfId="0" applyFont="1" applyFill="1" applyBorder="1" applyAlignment="1">
      <alignment horizontal="center"/>
    </xf>
    <xf numFmtId="0" fontId="12" fillId="2" borderId="28" xfId="0" applyFont="1" applyFill="1" applyBorder="1" applyAlignment="1">
      <alignment vertical="center"/>
    </xf>
    <xf numFmtId="0" fontId="12" fillId="2" borderId="68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/>
    </xf>
    <xf numFmtId="177" fontId="7" fillId="4" borderId="19" xfId="0" applyNumberFormat="1" applyFont="1" applyFill="1" applyBorder="1"/>
    <xf numFmtId="178" fontId="7" fillId="4" borderId="20" xfId="0" applyNumberFormat="1" applyFont="1" applyFill="1" applyBorder="1"/>
    <xf numFmtId="0" fontId="5" fillId="2" borderId="71" xfId="0" applyFont="1" applyFill="1" applyBorder="1" applyAlignment="1">
      <alignment horizontal="center"/>
    </xf>
    <xf numFmtId="0" fontId="7" fillId="3" borderId="64" xfId="0" applyFont="1" applyFill="1" applyBorder="1"/>
    <xf numFmtId="0" fontId="5" fillId="2" borderId="72" xfId="0" applyFont="1" applyFill="1" applyBorder="1" applyAlignment="1">
      <alignment horizontal="center"/>
    </xf>
    <xf numFmtId="0" fontId="13" fillId="0" borderId="0" xfId="0" applyFont="1"/>
    <xf numFmtId="0" fontId="8" fillId="0" borderId="0" xfId="0" applyFont="1"/>
    <xf numFmtId="0" fontId="8" fillId="6" borderId="0" xfId="0" applyFont="1" applyFill="1"/>
    <xf numFmtId="0" fontId="20" fillId="6" borderId="0" xfId="0" applyFont="1" applyFill="1"/>
    <xf numFmtId="0" fontId="19" fillId="0" borderId="0" xfId="0" applyFont="1"/>
    <xf numFmtId="0" fontId="0" fillId="0" borderId="65" xfId="0" applyBorder="1"/>
    <xf numFmtId="0" fontId="2" fillId="2" borderId="15" xfId="0" applyFont="1" applyFill="1" applyBorder="1" applyAlignment="1">
      <alignment horizontal="center"/>
    </xf>
    <xf numFmtId="0" fontId="3" fillId="0" borderId="53" xfId="0" applyFont="1" applyBorder="1"/>
    <xf numFmtId="0" fontId="3" fillId="0" borderId="54" xfId="0" applyFont="1" applyBorder="1"/>
    <xf numFmtId="0" fontId="2" fillId="2" borderId="66" xfId="0" applyFont="1" applyFill="1" applyBorder="1" applyAlignment="1">
      <alignment horizontal="center" wrapText="1"/>
    </xf>
    <xf numFmtId="0" fontId="3" fillId="0" borderId="67" xfId="0" applyFont="1" applyBorder="1"/>
    <xf numFmtId="0" fontId="2" fillId="2" borderId="66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3" fillId="0" borderId="3" xfId="0" applyFont="1" applyBorder="1"/>
    <xf numFmtId="0" fontId="7" fillId="0" borderId="2" xfId="0" applyFont="1" applyBorder="1" applyAlignment="1">
      <alignment horizontal="center"/>
    </xf>
    <xf numFmtId="179" fontId="7" fillId="0" borderId="69" xfId="0" applyNumberFormat="1" applyFont="1" applyBorder="1" applyAlignment="1">
      <alignment horizontal="center" vertical="center"/>
    </xf>
    <xf numFmtId="0" fontId="3" fillId="0" borderId="70" xfId="0" applyFont="1" applyBorder="1"/>
    <xf numFmtId="0" fontId="3" fillId="0" borderId="69" xfId="0" applyFont="1" applyBorder="1"/>
    <xf numFmtId="0" fontId="3" fillId="0" borderId="73" xfId="0" applyFont="1" applyBorder="1"/>
    <xf numFmtId="0" fontId="3" fillId="0" borderId="74" xfId="0" applyFont="1" applyBorder="1"/>
    <xf numFmtId="176" fontId="10" fillId="0" borderId="0" xfId="0" applyNumberFormat="1" applyFont="1" applyAlignment="1">
      <alignment horizontal="left"/>
    </xf>
    <xf numFmtId="0" fontId="0" fillId="0" borderId="0" xfId="0"/>
    <xf numFmtId="0" fontId="7" fillId="3" borderId="43" xfId="0" applyFont="1" applyFill="1" applyBorder="1" applyAlignment="1">
      <alignment horizontal="center"/>
    </xf>
    <xf numFmtId="0" fontId="3" fillId="0" borderId="45" xfId="0" applyFont="1" applyBorder="1"/>
    <xf numFmtId="177" fontId="10" fillId="0" borderId="0" xfId="0" applyNumberFormat="1" applyFont="1" applyAlignment="1">
      <alignment horizontal="left"/>
    </xf>
    <xf numFmtId="0" fontId="7" fillId="3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6" fontId="8" fillId="3" borderId="25" xfId="0" applyNumberFormat="1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2" xfId="0" applyFont="1" applyBorder="1"/>
    <xf numFmtId="0" fontId="4" fillId="3" borderId="25" xfId="0" applyFont="1" applyFill="1" applyBorder="1" applyAlignment="1">
      <alignment horizontal="center" vertical="center"/>
    </xf>
    <xf numFmtId="176" fontId="4" fillId="0" borderId="25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3" fillId="0" borderId="26" xfId="0" applyFont="1" applyBorder="1"/>
    <xf numFmtId="0" fontId="3" fillId="0" borderId="33" xfId="0" applyFont="1" applyBorder="1"/>
    <xf numFmtId="0" fontId="2" fillId="2" borderId="21" xfId="0" applyFont="1" applyFill="1" applyBorder="1" applyAlignment="1">
      <alignment horizontal="center" vertical="center"/>
    </xf>
    <xf numFmtId="0" fontId="3" fillId="0" borderId="27" xfId="0" applyFont="1" applyBorder="1"/>
    <xf numFmtId="0" fontId="3" fillId="0" borderId="46" xfId="0" applyFont="1" applyBorder="1"/>
    <xf numFmtId="0" fontId="5" fillId="2" borderId="38" xfId="0" applyFont="1" applyFill="1" applyBorder="1" applyAlignment="1">
      <alignment horizontal="center" vertical="center"/>
    </xf>
    <xf numFmtId="0" fontId="3" fillId="0" borderId="55" xfId="0" applyFont="1" applyBorder="1"/>
    <xf numFmtId="0" fontId="2" fillId="2" borderId="51" xfId="0" applyFont="1" applyFill="1" applyBorder="1" applyAlignment="1">
      <alignment horizontal="center" vertical="center"/>
    </xf>
    <xf numFmtId="0" fontId="3" fillId="0" borderId="56" xfId="0" applyFont="1" applyBorder="1"/>
    <xf numFmtId="0" fontId="2" fillId="2" borderId="52" xfId="0" applyFont="1" applyFill="1" applyBorder="1" applyAlignment="1">
      <alignment horizontal="center" vertical="center"/>
    </xf>
    <xf numFmtId="0" fontId="3" fillId="0" borderId="57" xfId="0" applyFont="1" applyBorder="1"/>
    <xf numFmtId="176" fontId="6" fillId="3" borderId="25" xfId="0" applyNumberFormat="1" applyFont="1" applyFill="1" applyBorder="1" applyAlignment="1">
      <alignment horizontal="center" vertical="center"/>
    </xf>
    <xf numFmtId="176" fontId="7" fillId="3" borderId="43" xfId="0" applyNumberFormat="1" applyFont="1" applyFill="1" applyBorder="1" applyAlignment="1">
      <alignment horizontal="center"/>
    </xf>
    <xf numFmtId="0" fontId="3" fillId="0" borderId="44" xfId="0" applyFont="1" applyBorder="1"/>
    <xf numFmtId="0" fontId="2" fillId="2" borderId="39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3" fillId="0" borderId="6" xfId="0" applyFont="1" applyBorder="1"/>
    <xf numFmtId="176" fontId="7" fillId="3" borderId="2" xfId="0" applyNumberFormat="1" applyFont="1" applyFill="1" applyBorder="1" applyAlignment="1">
      <alignment horizontal="center"/>
    </xf>
    <xf numFmtId="0" fontId="3" fillId="0" borderId="40" xfId="0" applyFont="1" applyBorder="1"/>
    <xf numFmtId="176" fontId="7" fillId="0" borderId="2" xfId="0" applyNumberFormat="1" applyFont="1" applyBorder="1" applyAlignment="1">
      <alignment horizontal="center"/>
    </xf>
    <xf numFmtId="0" fontId="3" fillId="0" borderId="41" xfId="0" applyFont="1" applyBorder="1"/>
    <xf numFmtId="180" fontId="7" fillId="3" borderId="5" xfId="0" applyNumberFormat="1" applyFont="1" applyFill="1" applyBorder="1" applyAlignment="1">
      <alignment horizontal="left"/>
    </xf>
    <xf numFmtId="0" fontId="3" fillId="0" borderId="8" xfId="0" applyFont="1" applyBorder="1"/>
    <xf numFmtId="0" fontId="7" fillId="3" borderId="2" xfId="0" applyFont="1" applyFill="1" applyBorder="1" applyAlignment="1">
      <alignment horizontal="left"/>
    </xf>
    <xf numFmtId="0" fontId="3" fillId="0" borderId="75" xfId="0" applyFont="1" applyBorder="1"/>
    <xf numFmtId="0" fontId="2" fillId="2" borderId="5" xfId="0" applyFont="1" applyFill="1" applyBorder="1" applyAlignment="1">
      <alignment horizontal="center"/>
    </xf>
    <xf numFmtId="0" fontId="3" fillId="0" borderId="7" xfId="0" applyFont="1" applyBorder="1"/>
    <xf numFmtId="0" fontId="2" fillId="2" borderId="10" xfId="0" applyFont="1" applyFill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2" fillId="2" borderId="13" xfId="0" applyFont="1" applyFill="1" applyBorder="1" applyAlignment="1">
      <alignment horizontal="center"/>
    </xf>
    <xf numFmtId="0" fontId="3" fillId="0" borderId="14" xfId="0" applyFont="1" applyBorder="1"/>
    <xf numFmtId="0" fontId="3" fillId="0" borderId="36" xfId="0" applyFont="1" applyBorder="1"/>
    <xf numFmtId="0" fontId="2" fillId="2" borderId="38" xfId="0" applyFont="1" applyFill="1" applyBorder="1" applyAlignment="1">
      <alignment horizontal="center" vertical="center"/>
    </xf>
    <xf numFmtId="176" fontId="7" fillId="0" borderId="47" xfId="0" applyNumberFormat="1" applyFont="1" applyBorder="1" applyAlignment="1">
      <alignment horizontal="center"/>
    </xf>
    <xf numFmtId="0" fontId="3" fillId="0" borderId="48" xfId="0" applyFont="1" applyBorder="1"/>
    <xf numFmtId="0" fontId="3" fillId="0" borderId="49" xfId="0" applyFont="1" applyBorder="1"/>
    <xf numFmtId="0" fontId="3" fillId="0" borderId="50" xfId="0" applyFont="1" applyBorder="1"/>
    <xf numFmtId="176" fontId="7" fillId="3" borderId="47" xfId="0" applyNumberFormat="1" applyFont="1" applyFill="1" applyBorder="1" applyAlignment="1">
      <alignment horizontal="center"/>
    </xf>
  </cellXfs>
  <cellStyles count="1">
    <cellStyle name="一般" xfId="0" builtinId="0"/>
  </cellStyles>
  <dxfs count="16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592C-E616-4EF2-9C23-F3E8CCE8E7F1}">
  <dimension ref="B1:AB279"/>
  <sheetViews>
    <sheetView tabSelected="1" topLeftCell="A10" zoomScale="55" zoomScaleNormal="55" workbookViewId="0">
      <selection activeCell="Y54" sqref="Y54"/>
    </sheetView>
  </sheetViews>
  <sheetFormatPr defaultColWidth="12.6328125" defaultRowHeight="12.5"/>
  <cols>
    <col min="1" max="1" width="7.453125" customWidth="1"/>
    <col min="2" max="2" width="13" customWidth="1"/>
    <col min="3" max="3" width="5.90625" customWidth="1"/>
    <col min="4" max="4" width="15.1796875" customWidth="1"/>
    <col min="5" max="6" width="17.453125" customWidth="1"/>
    <col min="7" max="7" width="10.453125" bestFit="1" customWidth="1"/>
    <col min="8" max="8" width="25.36328125" customWidth="1"/>
    <col min="9" max="9" width="13.453125" customWidth="1"/>
    <col min="10" max="10" width="10.08984375" customWidth="1"/>
    <col min="11" max="11" width="13.453125" customWidth="1"/>
    <col min="12" max="12" width="7.08984375" customWidth="1"/>
    <col min="13" max="13" width="15.6328125" customWidth="1"/>
    <col min="14" max="14" width="20" customWidth="1"/>
    <col min="15" max="15" width="13.453125" customWidth="1"/>
    <col min="16" max="16" width="14.6328125" customWidth="1"/>
    <col min="17" max="17" width="18" customWidth="1"/>
    <col min="18" max="19" width="13.453125" customWidth="1"/>
    <col min="20" max="20" width="14.08984375" customWidth="1"/>
    <col min="21" max="21" width="22.90625" customWidth="1"/>
    <col min="22" max="22" width="27.453125" customWidth="1"/>
    <col min="23" max="23" width="13.453125" customWidth="1"/>
    <col min="24" max="24" width="6.6328125" customWidth="1"/>
    <col min="25" max="25" width="13.453125" customWidth="1"/>
    <col min="26" max="26" width="6.6328125" customWidth="1"/>
    <col min="27" max="27" width="7.36328125" customWidth="1"/>
    <col min="28" max="28" width="16.08984375" customWidth="1"/>
  </cols>
  <sheetData>
    <row r="1" spans="2:28" ht="16.5" customHeight="1" thickBot="1">
      <c r="K1" s="1"/>
      <c r="L1" s="2"/>
    </row>
    <row r="2" spans="2:28" ht="16.5" customHeight="1">
      <c r="B2" s="3" t="s">
        <v>1</v>
      </c>
      <c r="C2" s="113"/>
      <c r="D2" s="114"/>
      <c r="K2" s="1"/>
      <c r="L2" s="2"/>
      <c r="R2" s="4"/>
      <c r="Y2" s="1" t="s">
        <v>0</v>
      </c>
    </row>
    <row r="3" spans="2:28" ht="16.5" customHeight="1">
      <c r="B3" s="5" t="s">
        <v>3</v>
      </c>
      <c r="C3" s="115"/>
      <c r="D3" s="116"/>
      <c r="E3" s="2"/>
      <c r="K3" s="1"/>
      <c r="L3" s="2"/>
      <c r="P3" s="4"/>
      <c r="Y3" s="1" t="s">
        <v>2</v>
      </c>
      <c r="Z3" s="2">
        <v>41664</v>
      </c>
      <c r="AA3" s="2">
        <v>4468</v>
      </c>
    </row>
    <row r="4" spans="2:28" ht="16.5" customHeight="1" thickBot="1">
      <c r="B4" s="2"/>
      <c r="K4" s="1"/>
      <c r="Y4" s="1" t="s">
        <v>4</v>
      </c>
    </row>
    <row r="5" spans="2:28" ht="16.5" customHeight="1" thickBot="1">
      <c r="B5" s="2"/>
      <c r="H5" s="6"/>
      <c r="I5" s="117" t="s">
        <v>6</v>
      </c>
      <c r="J5" s="108"/>
      <c r="K5" s="118"/>
      <c r="L5" s="117" t="s">
        <v>7</v>
      </c>
      <c r="M5" s="108"/>
      <c r="N5" s="114"/>
      <c r="P5" s="7"/>
      <c r="Q5" s="119" t="s">
        <v>8</v>
      </c>
      <c r="R5" s="120"/>
      <c r="S5" s="121"/>
      <c r="T5" s="119" t="s">
        <v>9</v>
      </c>
      <c r="U5" s="120"/>
      <c r="V5" s="120"/>
      <c r="W5" s="122" t="s">
        <v>10</v>
      </c>
      <c r="X5" s="120"/>
      <c r="Y5" s="123"/>
      <c r="Z5" s="119" t="s">
        <v>11</v>
      </c>
      <c r="AA5" s="120"/>
      <c r="AB5" s="121"/>
    </row>
    <row r="6" spans="2:28" ht="16.5" customHeight="1" thickBot="1">
      <c r="B6" s="8"/>
      <c r="C6" s="9" t="s">
        <v>12</v>
      </c>
      <c r="D6" s="10" t="s">
        <v>13</v>
      </c>
      <c r="E6" s="11" t="s">
        <v>14</v>
      </c>
      <c r="F6" s="11" t="s">
        <v>15</v>
      </c>
      <c r="H6" s="91" t="s">
        <v>16</v>
      </c>
      <c r="I6" s="12" t="s">
        <v>12</v>
      </c>
      <c r="J6" s="13" t="s">
        <v>17</v>
      </c>
      <c r="K6" s="13" t="s">
        <v>18</v>
      </c>
      <c r="L6" s="12" t="s">
        <v>12</v>
      </c>
      <c r="M6" s="13" t="s">
        <v>17</v>
      </c>
      <c r="N6" s="14" t="s">
        <v>18</v>
      </c>
      <c r="P6" s="94" t="s">
        <v>19</v>
      </c>
      <c r="Q6" s="12" t="s">
        <v>12</v>
      </c>
      <c r="R6" s="13" t="s">
        <v>17</v>
      </c>
      <c r="S6" s="13" t="s">
        <v>18</v>
      </c>
      <c r="T6" s="12" t="s">
        <v>12</v>
      </c>
      <c r="U6" s="13" t="s">
        <v>17</v>
      </c>
      <c r="V6" s="14" t="s">
        <v>18</v>
      </c>
      <c r="W6" s="12" t="s">
        <v>12</v>
      </c>
      <c r="X6" s="13" t="s">
        <v>17</v>
      </c>
      <c r="Y6" s="15" t="s">
        <v>18</v>
      </c>
      <c r="Z6" s="12" t="s">
        <v>12</v>
      </c>
      <c r="AA6" s="13" t="s">
        <v>17</v>
      </c>
      <c r="AB6" s="13" t="s">
        <v>18</v>
      </c>
    </row>
    <row r="7" spans="2:28" ht="16.5" customHeight="1">
      <c r="B7" s="16" t="s">
        <v>20</v>
      </c>
      <c r="C7" s="17"/>
      <c r="D7" s="103"/>
      <c r="E7" s="88"/>
      <c r="F7" s="89" t="e">
        <f>MOD((J21-E7)/J7/86400,$R$21)</f>
        <v>#DIV/0!</v>
      </c>
      <c r="H7" s="92"/>
      <c r="I7" s="18"/>
      <c r="J7" s="18"/>
      <c r="K7" s="19">
        <f t="shared" ref="K7:K11" si="0">IF(J7,(I7/J7)/86400,0)</f>
        <v>0</v>
      </c>
      <c r="L7" s="18"/>
      <c r="M7" s="18"/>
      <c r="N7" s="20">
        <f t="shared" ref="N7:N11" si="1">IF(M7,(L7/M7)/86400,0)</f>
        <v>0</v>
      </c>
      <c r="P7" s="95"/>
      <c r="Q7" s="18"/>
      <c r="R7" s="18"/>
      <c r="S7" s="19">
        <f t="shared" ref="S7:S11" si="2">IF(R7,(Q7/R7)/86400,0)</f>
        <v>0</v>
      </c>
      <c r="T7" s="18"/>
      <c r="U7" s="18"/>
      <c r="V7" s="20">
        <f t="shared" ref="V7:V11" si="3">IF(U7,(T7/U7)/86400,0)</f>
        <v>0</v>
      </c>
      <c r="W7" s="18"/>
      <c r="X7" s="18"/>
      <c r="Y7" s="21">
        <f t="shared" ref="Y7:Y11" si="4">IF(X7,(W7/X7)/86400,0)</f>
        <v>0</v>
      </c>
      <c r="Z7" s="22"/>
      <c r="AA7" s="18"/>
      <c r="AB7" s="21">
        <f t="shared" ref="AB7:AB11" si="5">IF(AA7,(Z7/AA7)/86400,0)</f>
        <v>0</v>
      </c>
    </row>
    <row r="8" spans="2:28" ht="16.5" customHeight="1">
      <c r="B8" s="23"/>
      <c r="C8" s="24"/>
      <c r="D8" s="86"/>
      <c r="E8" s="86"/>
      <c r="F8" s="86"/>
      <c r="H8" s="92"/>
      <c r="I8" s="18"/>
      <c r="J8" s="18"/>
      <c r="K8" s="19">
        <f t="shared" si="0"/>
        <v>0</v>
      </c>
      <c r="L8" s="22"/>
      <c r="M8" s="18"/>
      <c r="N8" s="20">
        <f t="shared" si="1"/>
        <v>0</v>
      </c>
      <c r="P8" s="95"/>
      <c r="Q8" s="18"/>
      <c r="R8" s="18"/>
      <c r="S8" s="19">
        <f t="shared" si="2"/>
        <v>0</v>
      </c>
      <c r="T8" s="18"/>
      <c r="U8" s="18"/>
      <c r="V8" s="20">
        <f t="shared" si="3"/>
        <v>0</v>
      </c>
      <c r="W8" s="18"/>
      <c r="X8" s="18"/>
      <c r="Y8" s="21">
        <f t="shared" si="4"/>
        <v>0</v>
      </c>
      <c r="Z8" s="22"/>
      <c r="AA8" s="18"/>
      <c r="AB8" s="21">
        <f t="shared" si="5"/>
        <v>0</v>
      </c>
    </row>
    <row r="9" spans="2:28" ht="16.5" customHeight="1">
      <c r="B9" s="23"/>
      <c r="C9" s="24"/>
      <c r="D9" s="86"/>
      <c r="E9" s="86"/>
      <c r="F9" s="86"/>
      <c r="H9" s="92"/>
      <c r="I9" s="18"/>
      <c r="J9" s="18"/>
      <c r="K9" s="19">
        <f t="shared" si="0"/>
        <v>0</v>
      </c>
      <c r="L9" s="18"/>
      <c r="M9" s="18"/>
      <c r="N9" s="20">
        <f t="shared" si="1"/>
        <v>0</v>
      </c>
      <c r="P9" s="95"/>
      <c r="Q9" s="18"/>
      <c r="R9" s="18"/>
      <c r="S9" s="19">
        <f t="shared" si="2"/>
        <v>0</v>
      </c>
      <c r="T9" s="18"/>
      <c r="U9" s="18"/>
      <c r="V9" s="20">
        <f t="shared" si="3"/>
        <v>0</v>
      </c>
      <c r="W9" s="18"/>
      <c r="X9" s="18"/>
      <c r="Y9" s="21">
        <f t="shared" si="4"/>
        <v>0</v>
      </c>
      <c r="Z9" s="22"/>
      <c r="AA9" s="18"/>
      <c r="AB9" s="21">
        <f t="shared" si="5"/>
        <v>0</v>
      </c>
    </row>
    <row r="10" spans="2:28" ht="16.5" customHeight="1" thickBot="1">
      <c r="B10" s="23"/>
      <c r="C10" s="25"/>
      <c r="D10" s="87"/>
      <c r="E10" s="87"/>
      <c r="F10" s="87"/>
      <c r="H10" s="92"/>
      <c r="I10" s="18"/>
      <c r="J10" s="18"/>
      <c r="K10" s="19">
        <f t="shared" si="0"/>
        <v>0</v>
      </c>
      <c r="L10" s="18"/>
      <c r="M10" s="18"/>
      <c r="N10" s="20">
        <f t="shared" si="1"/>
        <v>0</v>
      </c>
      <c r="P10" s="95"/>
      <c r="Q10" s="18"/>
      <c r="R10" s="18"/>
      <c r="S10" s="19">
        <f t="shared" si="2"/>
        <v>0</v>
      </c>
      <c r="T10" s="18"/>
      <c r="U10" s="18"/>
      <c r="V10" s="20">
        <f t="shared" si="3"/>
        <v>0</v>
      </c>
      <c r="W10" s="18"/>
      <c r="X10" s="18"/>
      <c r="Y10" s="21">
        <f t="shared" si="4"/>
        <v>0</v>
      </c>
      <c r="Z10" s="18"/>
      <c r="AA10" s="18"/>
      <c r="AB10" s="21">
        <f t="shared" si="5"/>
        <v>0</v>
      </c>
    </row>
    <row r="11" spans="2:28" ht="16.5" customHeight="1" thickBot="1">
      <c r="B11" s="16" t="s">
        <v>21</v>
      </c>
      <c r="C11" s="17"/>
      <c r="D11" s="103"/>
      <c r="E11" s="88"/>
      <c r="F11" s="89" t="e">
        <f>MOD((J22-E11)/J8/86400,$R$21)</f>
        <v>#DIV/0!</v>
      </c>
      <c r="H11" s="93"/>
      <c r="I11" s="26"/>
      <c r="J11" s="26"/>
      <c r="K11" s="27">
        <f t="shared" si="0"/>
        <v>0</v>
      </c>
      <c r="L11" s="26"/>
      <c r="M11" s="26"/>
      <c r="N11" s="28">
        <f t="shared" si="1"/>
        <v>0</v>
      </c>
      <c r="P11" s="124"/>
      <c r="Q11" s="26"/>
      <c r="R11" s="26"/>
      <c r="S11" s="27">
        <f t="shared" si="2"/>
        <v>0</v>
      </c>
      <c r="T11" s="26"/>
      <c r="U11" s="26"/>
      <c r="V11" s="28">
        <f t="shared" si="3"/>
        <v>0</v>
      </c>
      <c r="W11" s="26"/>
      <c r="X11" s="26"/>
      <c r="Y11" s="29">
        <f t="shared" si="4"/>
        <v>0</v>
      </c>
      <c r="Z11" s="26"/>
      <c r="AA11" s="26"/>
      <c r="AB11" s="21">
        <f t="shared" si="5"/>
        <v>0</v>
      </c>
    </row>
    <row r="12" spans="2:28" ht="16.5" customHeight="1">
      <c r="B12" s="23"/>
      <c r="C12" s="24"/>
      <c r="D12" s="86"/>
      <c r="E12" s="86"/>
      <c r="F12" s="86"/>
      <c r="H12" s="125" t="s">
        <v>22</v>
      </c>
      <c r="I12" s="107" t="s">
        <v>18</v>
      </c>
      <c r="J12" s="108"/>
      <c r="K12" s="108"/>
      <c r="L12" s="108"/>
      <c r="M12" s="108"/>
      <c r="N12" s="118"/>
      <c r="P12" s="106" t="s">
        <v>22</v>
      </c>
      <c r="Q12" s="107" t="s">
        <v>18</v>
      </c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</row>
    <row r="13" spans="2:28" ht="16.5" customHeight="1">
      <c r="B13" s="23"/>
      <c r="C13" s="24"/>
      <c r="D13" s="86"/>
      <c r="E13" s="86"/>
      <c r="F13" s="86"/>
      <c r="H13" s="92"/>
      <c r="I13" s="109"/>
      <c r="J13" s="110"/>
      <c r="K13" s="71"/>
      <c r="L13" s="109"/>
      <c r="M13" s="110"/>
      <c r="N13" s="71"/>
      <c r="P13" s="95"/>
      <c r="Q13" s="109"/>
      <c r="R13" s="110"/>
      <c r="S13" s="71"/>
      <c r="T13" s="111">
        <f t="shared" ref="T13:T17" si="6">Q13+(V7-S7)</f>
        <v>0</v>
      </c>
      <c r="U13" s="110"/>
      <c r="V13" s="71"/>
      <c r="W13" s="111">
        <f t="shared" ref="W13:W17" si="7">Q13+Y7-S7</f>
        <v>0</v>
      </c>
      <c r="X13" s="110"/>
      <c r="Y13" s="112"/>
      <c r="Z13" s="109"/>
      <c r="AA13" s="110"/>
      <c r="AB13" s="71"/>
    </row>
    <row r="14" spans="2:28" ht="16.5" customHeight="1" thickBot="1">
      <c r="B14" s="30"/>
      <c r="C14" s="25"/>
      <c r="D14" s="87"/>
      <c r="E14" s="87"/>
      <c r="F14" s="87"/>
      <c r="H14" s="92"/>
      <c r="I14" s="109"/>
      <c r="J14" s="110"/>
      <c r="K14" s="71"/>
      <c r="L14" s="109"/>
      <c r="M14" s="110"/>
      <c r="N14" s="71"/>
      <c r="P14" s="95"/>
      <c r="Q14" s="109"/>
      <c r="R14" s="110"/>
      <c r="S14" s="71"/>
      <c r="T14" s="111">
        <f t="shared" si="6"/>
        <v>0</v>
      </c>
      <c r="U14" s="110"/>
      <c r="V14" s="71"/>
      <c r="W14" s="111">
        <f t="shared" si="7"/>
        <v>0</v>
      </c>
      <c r="X14" s="110"/>
      <c r="Y14" s="112"/>
      <c r="Z14" s="109"/>
      <c r="AA14" s="110"/>
      <c r="AB14" s="71"/>
    </row>
    <row r="15" spans="2:28" ht="16.5" customHeight="1">
      <c r="B15" s="16" t="s">
        <v>23</v>
      </c>
      <c r="C15" s="17"/>
      <c r="D15" s="103"/>
      <c r="E15" s="88"/>
      <c r="F15" s="89" t="e">
        <f>MOD((J23-E15)/J9/86400,$R$21)</f>
        <v>#DIV/0!</v>
      </c>
      <c r="H15" s="92"/>
      <c r="I15" s="109"/>
      <c r="J15" s="110"/>
      <c r="K15" s="71"/>
      <c r="L15" s="109"/>
      <c r="M15" s="110"/>
      <c r="N15" s="71"/>
      <c r="P15" s="95"/>
      <c r="Q15" s="109"/>
      <c r="R15" s="110"/>
      <c r="S15" s="71"/>
      <c r="T15" s="111">
        <f t="shared" si="6"/>
        <v>0</v>
      </c>
      <c r="U15" s="110"/>
      <c r="V15" s="71"/>
      <c r="W15" s="111">
        <f t="shared" si="7"/>
        <v>0</v>
      </c>
      <c r="X15" s="110"/>
      <c r="Y15" s="112"/>
      <c r="Z15" s="109"/>
      <c r="AA15" s="110"/>
      <c r="AB15" s="71"/>
    </row>
    <row r="16" spans="2:28" ht="16.5" customHeight="1">
      <c r="B16" s="23"/>
      <c r="C16" s="24"/>
      <c r="D16" s="86"/>
      <c r="E16" s="86"/>
      <c r="F16" s="86"/>
      <c r="H16" s="92"/>
      <c r="I16" s="109"/>
      <c r="J16" s="110"/>
      <c r="K16" s="71"/>
      <c r="L16" s="109"/>
      <c r="M16" s="110"/>
      <c r="N16" s="71"/>
      <c r="P16" s="95"/>
      <c r="Q16" s="109"/>
      <c r="R16" s="110"/>
      <c r="S16" s="71"/>
      <c r="T16" s="111">
        <f t="shared" si="6"/>
        <v>0</v>
      </c>
      <c r="U16" s="110"/>
      <c r="V16" s="71"/>
      <c r="W16" s="111">
        <f t="shared" si="7"/>
        <v>0</v>
      </c>
      <c r="X16" s="110"/>
      <c r="Y16" s="112"/>
      <c r="Z16" s="109"/>
      <c r="AA16" s="110"/>
      <c r="AB16" s="71"/>
    </row>
    <row r="17" spans="2:28" ht="16.5" customHeight="1" thickBot="1">
      <c r="B17" s="23"/>
      <c r="C17" s="24"/>
      <c r="D17" s="86"/>
      <c r="E17" s="86"/>
      <c r="F17" s="86"/>
      <c r="H17" s="93"/>
      <c r="I17" s="104"/>
      <c r="J17" s="105"/>
      <c r="K17" s="81"/>
      <c r="L17" s="104"/>
      <c r="M17" s="105"/>
      <c r="N17" s="81"/>
      <c r="P17" s="96"/>
      <c r="Q17" s="130"/>
      <c r="R17" s="127"/>
      <c r="S17" s="128"/>
      <c r="T17" s="126">
        <f t="shared" si="6"/>
        <v>0</v>
      </c>
      <c r="U17" s="127"/>
      <c r="V17" s="128"/>
      <c r="W17" s="126">
        <f t="shared" si="7"/>
        <v>0</v>
      </c>
      <c r="X17" s="127"/>
      <c r="Y17" s="129"/>
      <c r="Z17" s="130"/>
      <c r="AA17" s="127"/>
      <c r="AB17" s="128"/>
    </row>
    <row r="18" spans="2:28" ht="16.5" customHeight="1" thickBot="1">
      <c r="B18" s="30"/>
      <c r="C18" s="25"/>
      <c r="D18" s="87"/>
      <c r="E18" s="87"/>
      <c r="F18" s="87"/>
    </row>
    <row r="19" spans="2:28" ht="16.5" customHeight="1" thickBot="1">
      <c r="B19" s="16" t="s">
        <v>24</v>
      </c>
      <c r="C19" s="17"/>
      <c r="D19" s="85"/>
      <c r="E19" s="88"/>
      <c r="F19" s="89" t="e">
        <f>MOD((J24-E19)/J10/86400,$R$21)</f>
        <v>#DIV/0!</v>
      </c>
      <c r="H19" s="97"/>
      <c r="I19" s="99" t="s">
        <v>25</v>
      </c>
      <c r="J19" s="101" t="s">
        <v>12</v>
      </c>
      <c r="L19" s="64" t="s">
        <v>26</v>
      </c>
      <c r="M19" s="65"/>
      <c r="N19" s="65"/>
      <c r="O19" s="66"/>
      <c r="P19" s="64" t="s">
        <v>27</v>
      </c>
      <c r="Q19" s="65"/>
      <c r="R19" s="65"/>
      <c r="S19" s="66"/>
      <c r="T19" s="64" t="s">
        <v>28</v>
      </c>
      <c r="U19" s="65"/>
      <c r="V19" s="65"/>
      <c r="W19" s="66"/>
    </row>
    <row r="20" spans="2:28" ht="16.5" customHeight="1">
      <c r="B20" s="23"/>
      <c r="C20" s="24"/>
      <c r="D20" s="86"/>
      <c r="E20" s="86"/>
      <c r="F20" s="86"/>
      <c r="H20" s="98"/>
      <c r="I20" s="100"/>
      <c r="J20" s="102"/>
      <c r="L20" s="31"/>
      <c r="M20" s="32" t="s">
        <v>29</v>
      </c>
      <c r="N20" s="32" t="s">
        <v>30</v>
      </c>
      <c r="O20" s="33" t="s">
        <v>31</v>
      </c>
      <c r="P20" s="6"/>
      <c r="Q20" s="34" t="s">
        <v>32</v>
      </c>
      <c r="R20" s="34" t="s">
        <v>33</v>
      </c>
      <c r="S20" s="35" t="s">
        <v>31</v>
      </c>
      <c r="T20" s="36"/>
      <c r="U20" s="32" t="s">
        <v>34</v>
      </c>
      <c r="V20" s="32" t="s">
        <v>35</v>
      </c>
      <c r="W20" s="33" t="s">
        <v>31</v>
      </c>
    </row>
    <row r="21" spans="2:28" ht="16.5" customHeight="1">
      <c r="B21" s="23"/>
      <c r="C21" s="24"/>
      <c r="D21" s="86"/>
      <c r="E21" s="86"/>
      <c r="F21" s="86"/>
      <c r="H21" s="91" t="s">
        <v>36</v>
      </c>
      <c r="I21" s="19" t="e">
        <f t="shared" ref="I21:I25" si="8">MOD((K7+T13-I13),$R$21)</f>
        <v>#DIV/0!</v>
      </c>
      <c r="J21" s="20" t="e">
        <f t="shared" ref="J21:J25" si="9">I21*86400*J7</f>
        <v>#DIV/0!</v>
      </c>
      <c r="L21" s="94" t="s">
        <v>37</v>
      </c>
      <c r="M21" s="37">
        <f t="shared" ref="M21:M25" si="10">N7-K7</f>
        <v>0</v>
      </c>
      <c r="N21" s="37">
        <f t="shared" ref="N21:N25" si="11">L13-I13</f>
        <v>0</v>
      </c>
      <c r="O21" s="38">
        <f t="shared" ref="O21:O25" si="12">ABS(M21-N21)</f>
        <v>0</v>
      </c>
      <c r="P21" s="91" t="s">
        <v>38</v>
      </c>
      <c r="Q21" s="37">
        <f t="shared" ref="Q21:Q25" si="13">W13-T13</f>
        <v>0</v>
      </c>
      <c r="R21" s="39"/>
      <c r="S21" s="38">
        <f t="shared" ref="S21:S25" si="14">ABS(R21-Q21)</f>
        <v>0</v>
      </c>
      <c r="T21" s="91" t="s">
        <v>39</v>
      </c>
      <c r="U21" s="37">
        <f t="shared" ref="U21:U25" si="15">ABS(AB7-S7)</f>
        <v>0</v>
      </c>
      <c r="V21" s="40">
        <f t="shared" ref="V21:V25" si="16">ABS(Z13-Q13)</f>
        <v>0</v>
      </c>
      <c r="W21" s="38">
        <f t="shared" ref="W21:W25" si="17">ABS(V21-U21)</f>
        <v>0</v>
      </c>
    </row>
    <row r="22" spans="2:28" ht="16.5" customHeight="1" thickBot="1">
      <c r="B22" s="30"/>
      <c r="C22" s="25"/>
      <c r="D22" s="87"/>
      <c r="E22" s="87"/>
      <c r="F22" s="87"/>
      <c r="H22" s="92"/>
      <c r="I22" s="19" t="e">
        <f t="shared" si="8"/>
        <v>#DIV/0!</v>
      </c>
      <c r="J22" s="20" t="e">
        <f t="shared" si="9"/>
        <v>#DIV/0!</v>
      </c>
      <c r="L22" s="95"/>
      <c r="M22" s="37">
        <f t="shared" si="10"/>
        <v>0</v>
      </c>
      <c r="N22" s="37">
        <f t="shared" si="11"/>
        <v>0</v>
      </c>
      <c r="O22" s="38">
        <f t="shared" si="12"/>
        <v>0</v>
      </c>
      <c r="P22" s="92"/>
      <c r="Q22" s="37">
        <f t="shared" si="13"/>
        <v>0</v>
      </c>
      <c r="R22" s="39"/>
      <c r="S22" s="38">
        <f t="shared" si="14"/>
        <v>0</v>
      </c>
      <c r="T22" s="92"/>
      <c r="U22" s="37">
        <f t="shared" si="15"/>
        <v>0</v>
      </c>
      <c r="V22" s="40">
        <f t="shared" si="16"/>
        <v>0</v>
      </c>
      <c r="W22" s="38">
        <f t="shared" si="17"/>
        <v>0</v>
      </c>
    </row>
    <row r="23" spans="2:28" ht="16.5" customHeight="1">
      <c r="B23" s="16" t="s">
        <v>40</v>
      </c>
      <c r="C23" s="17"/>
      <c r="D23" s="85"/>
      <c r="E23" s="88"/>
      <c r="F23" s="89" t="e">
        <f>MOD((J25-E23)/J11/86400,$R$21)</f>
        <v>#DIV/0!</v>
      </c>
      <c r="H23" s="92"/>
      <c r="I23" s="19" t="e">
        <f t="shared" si="8"/>
        <v>#DIV/0!</v>
      </c>
      <c r="J23" s="20" t="e">
        <f t="shared" si="9"/>
        <v>#DIV/0!</v>
      </c>
      <c r="L23" s="95"/>
      <c r="M23" s="37">
        <f t="shared" si="10"/>
        <v>0</v>
      </c>
      <c r="N23" s="37">
        <f t="shared" si="11"/>
        <v>0</v>
      </c>
      <c r="O23" s="38">
        <f t="shared" si="12"/>
        <v>0</v>
      </c>
      <c r="P23" s="92"/>
      <c r="Q23" s="37">
        <f t="shared" si="13"/>
        <v>0</v>
      </c>
      <c r="R23" s="39"/>
      <c r="S23" s="38">
        <f t="shared" si="14"/>
        <v>0</v>
      </c>
      <c r="T23" s="92"/>
      <c r="U23" s="37">
        <f t="shared" si="15"/>
        <v>0</v>
      </c>
      <c r="V23" s="40">
        <f t="shared" si="16"/>
        <v>0</v>
      </c>
      <c r="W23" s="38">
        <f t="shared" si="17"/>
        <v>0</v>
      </c>
    </row>
    <row r="24" spans="2:28" ht="16.5" customHeight="1">
      <c r="B24" s="23"/>
      <c r="C24" s="24"/>
      <c r="D24" s="86"/>
      <c r="E24" s="86"/>
      <c r="F24" s="86"/>
      <c r="H24" s="92"/>
      <c r="I24" s="19" t="e">
        <f t="shared" si="8"/>
        <v>#DIV/0!</v>
      </c>
      <c r="J24" s="20" t="e">
        <f t="shared" si="9"/>
        <v>#DIV/0!</v>
      </c>
      <c r="L24" s="95"/>
      <c r="M24" s="37">
        <f t="shared" si="10"/>
        <v>0</v>
      </c>
      <c r="N24" s="37">
        <f t="shared" si="11"/>
        <v>0</v>
      </c>
      <c r="O24" s="38">
        <f t="shared" si="12"/>
        <v>0</v>
      </c>
      <c r="P24" s="92"/>
      <c r="Q24" s="37">
        <f t="shared" si="13"/>
        <v>0</v>
      </c>
      <c r="R24" s="39"/>
      <c r="S24" s="38">
        <f t="shared" si="14"/>
        <v>0</v>
      </c>
      <c r="T24" s="92"/>
      <c r="U24" s="37">
        <f t="shared" si="15"/>
        <v>0</v>
      </c>
      <c r="V24" s="41">
        <f t="shared" si="16"/>
        <v>0</v>
      </c>
      <c r="W24" s="38">
        <f t="shared" si="17"/>
        <v>0</v>
      </c>
    </row>
    <row r="25" spans="2:28" ht="16.5" customHeight="1" thickBot="1">
      <c r="B25" s="23"/>
      <c r="C25" s="24"/>
      <c r="D25" s="86"/>
      <c r="E25" s="86"/>
      <c r="F25" s="86"/>
      <c r="H25" s="93"/>
      <c r="I25" s="19" t="e">
        <f t="shared" si="8"/>
        <v>#DIV/0!</v>
      </c>
      <c r="J25" s="20" t="e">
        <f t="shared" si="9"/>
        <v>#DIV/0!</v>
      </c>
      <c r="L25" s="96"/>
      <c r="M25" s="37">
        <f t="shared" si="10"/>
        <v>0</v>
      </c>
      <c r="N25" s="37">
        <f t="shared" si="11"/>
        <v>0</v>
      </c>
      <c r="O25" s="38">
        <f t="shared" si="12"/>
        <v>0</v>
      </c>
      <c r="P25" s="93"/>
      <c r="Q25" s="42">
        <f t="shared" si="13"/>
        <v>0</v>
      </c>
      <c r="R25" s="43"/>
      <c r="S25" s="38">
        <f t="shared" si="14"/>
        <v>0</v>
      </c>
      <c r="T25" s="93"/>
      <c r="U25" s="42">
        <f t="shared" si="15"/>
        <v>0</v>
      </c>
      <c r="V25" s="44">
        <f t="shared" si="16"/>
        <v>0</v>
      </c>
      <c r="W25" s="38">
        <f t="shared" si="17"/>
        <v>0</v>
      </c>
    </row>
    <row r="26" spans="2:28" ht="16.5" customHeight="1" thickBot="1">
      <c r="B26" s="30"/>
      <c r="C26" s="25"/>
      <c r="D26" s="87"/>
      <c r="E26" s="87"/>
      <c r="F26" s="87"/>
    </row>
    <row r="27" spans="2:28" ht="16.5" customHeight="1"/>
    <row r="28" spans="2:28" ht="16.5" customHeight="1" thickBot="1">
      <c r="H28" s="45" t="s">
        <v>41</v>
      </c>
      <c r="U28" s="46" t="s">
        <v>42</v>
      </c>
      <c r="V28" s="82">
        <f>AVERAGEIF(Q32:Q39,"&gt;0")</f>
        <v>2.2648691180325347E-2</v>
      </c>
      <c r="W28" s="79"/>
    </row>
    <row r="29" spans="2:28" ht="16.5" customHeight="1" thickBot="1">
      <c r="H29" s="90" t="s">
        <v>43</v>
      </c>
      <c r="I29" s="65"/>
      <c r="J29" s="65"/>
      <c r="K29" s="65"/>
      <c r="L29" s="65"/>
      <c r="M29" s="65"/>
      <c r="N29" s="65"/>
      <c r="O29" s="65"/>
      <c r="P29" s="65"/>
      <c r="Q29" s="65"/>
      <c r="R29" s="66"/>
      <c r="S29" s="64" t="s">
        <v>44</v>
      </c>
      <c r="T29" s="66"/>
      <c r="U29" s="46" t="s">
        <v>45</v>
      </c>
      <c r="V29" s="82">
        <f>AVERAGEIF(Q42:Q49,"&gt;0")</f>
        <v>4.6580136847919992E-2</v>
      </c>
      <c r="W29" s="79"/>
    </row>
    <row r="30" spans="2:28" ht="16.5" customHeight="1" thickBot="1">
      <c r="G30" s="60" t="s">
        <v>71</v>
      </c>
      <c r="H30" s="64" t="s">
        <v>46</v>
      </c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6"/>
      <c r="U30" s="46" t="s">
        <v>47</v>
      </c>
      <c r="V30" s="82">
        <f>AVERAGEIF(Q52:Q59,"&gt;0")</f>
        <v>7.2277099236075601E-2</v>
      </c>
      <c r="W30" s="79"/>
    </row>
    <row r="31" spans="2:28" ht="16.5" customHeight="1">
      <c r="G31" s="59"/>
      <c r="H31" s="47" t="s">
        <v>48</v>
      </c>
      <c r="I31" s="32" t="s">
        <v>49</v>
      </c>
      <c r="J31" s="32" t="s">
        <v>50</v>
      </c>
      <c r="K31" s="32" t="s">
        <v>51</v>
      </c>
      <c r="L31" s="32" t="s">
        <v>52</v>
      </c>
      <c r="M31" s="67" t="s">
        <v>53</v>
      </c>
      <c r="N31" s="68"/>
      <c r="O31" s="69" t="s">
        <v>54</v>
      </c>
      <c r="P31" s="68"/>
      <c r="Q31" s="48" t="s">
        <v>55</v>
      </c>
      <c r="R31" s="49" t="s">
        <v>56</v>
      </c>
      <c r="S31" s="50" t="s">
        <v>57</v>
      </c>
      <c r="T31" s="51"/>
      <c r="U31" s="46" t="s">
        <v>58</v>
      </c>
      <c r="V31" s="82">
        <f>AVERAGEIF(Q62:Q69,"&gt;0")</f>
        <v>9.5818756126932525E-2</v>
      </c>
      <c r="W31" s="79"/>
    </row>
    <row r="32" spans="2:28" ht="16.5" customHeight="1">
      <c r="H32" s="52" t="s">
        <v>0</v>
      </c>
      <c r="I32" s="18">
        <v>1655</v>
      </c>
      <c r="J32" s="18">
        <v>1869</v>
      </c>
      <c r="K32" s="18">
        <v>2094</v>
      </c>
      <c r="L32" s="18">
        <v>1875</v>
      </c>
      <c r="M32" s="70">
        <f t="shared" ref="M32:M39" si="18">SQRT((K32-I32)^2+(L32-J32)^2)</f>
        <v>439.0410003632918</v>
      </c>
      <c r="N32" s="71"/>
      <c r="O32" s="83">
        <v>10</v>
      </c>
      <c r="P32" s="71"/>
      <c r="Q32" s="53">
        <f t="shared" ref="Q32:Q39" si="19">IF(M32,(O32/M32),0)</f>
        <v>2.2776916032273373E-2</v>
      </c>
      <c r="R32" s="54">
        <f t="shared" ref="R32:R39" si="20">IF(O32,(M32/O32),0)</f>
        <v>43.904100036329183</v>
      </c>
      <c r="S32" s="73">
        <f>(MAX(Q32:Q39)-SMALL(Q32:Q39,COUNTIF(Q32:Q39,0)+1))/SMALL(Q32:Q39,COUNTIF(Q32:Q39,0)+1)*100%</f>
        <v>1.1387406466486324E-2</v>
      </c>
      <c r="T32" s="74"/>
      <c r="U32" s="46" t="s">
        <v>59</v>
      </c>
      <c r="V32" s="82">
        <f>AVERAGEIF(Q72:Q79,"&gt;0")</f>
        <v>0.11977980754514662</v>
      </c>
      <c r="W32" s="79"/>
    </row>
    <row r="33" spans="2:23" ht="16.5" customHeight="1">
      <c r="H33" s="52" t="s">
        <v>2</v>
      </c>
      <c r="I33" s="18">
        <v>504</v>
      </c>
      <c r="J33" s="18">
        <v>1697</v>
      </c>
      <c r="K33" s="18">
        <v>60</v>
      </c>
      <c r="L33" s="18">
        <v>1691</v>
      </c>
      <c r="M33" s="70">
        <f t="shared" si="18"/>
        <v>444.04053868988132</v>
      </c>
      <c r="N33" s="71"/>
      <c r="O33" s="83">
        <v>10</v>
      </c>
      <c r="P33" s="71"/>
      <c r="Q33" s="53">
        <f t="shared" si="19"/>
        <v>2.2520466328377321E-2</v>
      </c>
      <c r="R33" s="54">
        <f t="shared" si="20"/>
        <v>44.404053868988129</v>
      </c>
      <c r="S33" s="75"/>
      <c r="T33" s="74"/>
      <c r="U33" s="46" t="s">
        <v>60</v>
      </c>
      <c r="V33" s="78" t="e">
        <f>AVERAGEIF(O21:O25,"&gt;00:00:00.00")</f>
        <v>#DIV/0!</v>
      </c>
      <c r="W33" s="79"/>
    </row>
    <row r="34" spans="2:23" ht="16.5" customHeight="1">
      <c r="H34" s="52" t="s">
        <v>4</v>
      </c>
      <c r="I34" s="18"/>
      <c r="J34" s="18"/>
      <c r="K34" s="18"/>
      <c r="L34" s="18"/>
      <c r="M34" s="70">
        <f t="shared" si="18"/>
        <v>0</v>
      </c>
      <c r="N34" s="71"/>
      <c r="O34" s="83"/>
      <c r="P34" s="71"/>
      <c r="Q34" s="53">
        <f t="shared" si="19"/>
        <v>0</v>
      </c>
      <c r="R34" s="54">
        <f t="shared" si="20"/>
        <v>0</v>
      </c>
      <c r="S34" s="75"/>
      <c r="T34" s="74"/>
      <c r="U34" s="46" t="s">
        <v>61</v>
      </c>
      <c r="V34" s="78" t="e">
        <f>AVERAGEIF(S21:S25,"&gt;00:00:00.00")</f>
        <v>#DIV/0!</v>
      </c>
      <c r="W34" s="79"/>
    </row>
    <row r="35" spans="2:23" ht="16.5" customHeight="1">
      <c r="H35" s="52" t="s">
        <v>5</v>
      </c>
      <c r="I35" s="18"/>
      <c r="J35" s="18"/>
      <c r="K35" s="18"/>
      <c r="L35" s="18"/>
      <c r="M35" s="70">
        <f t="shared" si="18"/>
        <v>0</v>
      </c>
      <c r="N35" s="71"/>
      <c r="O35" s="83"/>
      <c r="P35" s="71"/>
      <c r="Q35" s="53">
        <f t="shared" si="19"/>
        <v>0</v>
      </c>
      <c r="R35" s="54">
        <f t="shared" si="20"/>
        <v>0</v>
      </c>
      <c r="S35" s="75"/>
      <c r="T35" s="74"/>
      <c r="U35" s="46" t="s">
        <v>62</v>
      </c>
      <c r="V35" s="78" t="e">
        <f>AVERAGEIF(W21:W25,"&gt;00:00:00.00")</f>
        <v>#DIV/0!</v>
      </c>
      <c r="W35" s="79"/>
    </row>
    <row r="36" spans="2:23" ht="16.5" customHeight="1">
      <c r="H36" s="55" t="s">
        <v>63</v>
      </c>
      <c r="I36" s="56"/>
      <c r="J36" s="56"/>
      <c r="K36" s="56"/>
      <c r="L36" s="56"/>
      <c r="M36" s="70">
        <f t="shared" si="18"/>
        <v>0</v>
      </c>
      <c r="N36" s="71"/>
      <c r="O36" s="83"/>
      <c r="P36" s="71"/>
      <c r="Q36" s="53">
        <f t="shared" si="19"/>
        <v>0</v>
      </c>
      <c r="R36" s="54">
        <f t="shared" si="20"/>
        <v>0</v>
      </c>
      <c r="S36" s="75"/>
      <c r="T36" s="74"/>
      <c r="V36" s="84"/>
      <c r="W36" s="79"/>
    </row>
    <row r="37" spans="2:23" ht="16.5" customHeight="1">
      <c r="H37" s="55" t="s">
        <v>64</v>
      </c>
      <c r="I37" s="56"/>
      <c r="J37" s="56"/>
      <c r="K37" s="56"/>
      <c r="L37" s="56"/>
      <c r="M37" s="70">
        <f t="shared" si="18"/>
        <v>0</v>
      </c>
      <c r="N37" s="71"/>
      <c r="O37" s="83"/>
      <c r="P37" s="71"/>
      <c r="Q37" s="53">
        <f t="shared" si="19"/>
        <v>0</v>
      </c>
      <c r="R37" s="54">
        <f t="shared" si="20"/>
        <v>0</v>
      </c>
      <c r="S37" s="75"/>
      <c r="T37" s="74"/>
    </row>
    <row r="38" spans="2:23" ht="16.5" customHeight="1">
      <c r="H38" s="55" t="s">
        <v>65</v>
      </c>
      <c r="I38" s="56"/>
      <c r="J38" s="56"/>
      <c r="K38" s="56"/>
      <c r="L38" s="56"/>
      <c r="M38" s="70">
        <f t="shared" si="18"/>
        <v>0</v>
      </c>
      <c r="N38" s="71"/>
      <c r="O38" s="83"/>
      <c r="P38" s="71"/>
      <c r="Q38" s="53">
        <f t="shared" si="19"/>
        <v>0</v>
      </c>
      <c r="R38" s="54">
        <f t="shared" si="20"/>
        <v>0</v>
      </c>
      <c r="S38" s="75"/>
      <c r="T38" s="74"/>
    </row>
    <row r="39" spans="2:23" ht="16.5" customHeight="1" thickBot="1">
      <c r="H39" s="57" t="s">
        <v>66</v>
      </c>
      <c r="I39" s="26"/>
      <c r="J39" s="26"/>
      <c r="K39" s="26"/>
      <c r="L39" s="26"/>
      <c r="M39" s="70">
        <f t="shared" si="18"/>
        <v>0</v>
      </c>
      <c r="N39" s="71"/>
      <c r="O39" s="80"/>
      <c r="P39" s="81"/>
      <c r="Q39" s="53">
        <f t="shared" si="19"/>
        <v>0</v>
      </c>
      <c r="R39" s="54">
        <f t="shared" si="20"/>
        <v>0</v>
      </c>
      <c r="S39" s="76"/>
      <c r="T39" s="77"/>
    </row>
    <row r="40" spans="2:23" ht="16.5" customHeight="1" thickBot="1">
      <c r="G40" s="60" t="s">
        <v>72</v>
      </c>
      <c r="H40" s="64" t="s">
        <v>67</v>
      </c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6"/>
    </row>
    <row r="41" spans="2:23" ht="16.5" customHeight="1">
      <c r="G41" s="58"/>
      <c r="H41" s="47" t="s">
        <v>48</v>
      </c>
      <c r="I41" s="32" t="s">
        <v>49</v>
      </c>
      <c r="J41" s="32" t="s">
        <v>50</v>
      </c>
      <c r="K41" s="32" t="s">
        <v>51</v>
      </c>
      <c r="L41" s="32" t="s">
        <v>52</v>
      </c>
      <c r="M41" s="67" t="s">
        <v>53</v>
      </c>
      <c r="N41" s="68"/>
      <c r="O41" s="69" t="s">
        <v>54</v>
      </c>
      <c r="P41" s="68"/>
      <c r="Q41" s="48" t="s">
        <v>55</v>
      </c>
      <c r="R41" s="49" t="s">
        <v>56</v>
      </c>
      <c r="S41" s="50" t="s">
        <v>57</v>
      </c>
      <c r="T41" s="51"/>
    </row>
    <row r="42" spans="2:23" ht="16.5" customHeight="1">
      <c r="H42" s="52" t="s">
        <v>0</v>
      </c>
      <c r="I42" s="18">
        <v>259</v>
      </c>
      <c r="J42" s="18">
        <v>2576</v>
      </c>
      <c r="K42" s="18">
        <v>54</v>
      </c>
      <c r="L42" s="18">
        <v>2642</v>
      </c>
      <c r="M42" s="70">
        <f t="shared" ref="M42:M49" si="21">SQRT((K42-I42)^2+(L42-J42)^2)</f>
        <v>215.36248512682053</v>
      </c>
      <c r="N42" s="71"/>
      <c r="O42" s="72">
        <f t="shared" ref="O42:O49" si="22">O32</f>
        <v>10</v>
      </c>
      <c r="P42" s="71"/>
      <c r="Q42" s="53">
        <f t="shared" ref="Q42:Q49" si="23">IF(M42,(O42/M42),0)</f>
        <v>4.6433342344240215E-2</v>
      </c>
      <c r="R42" s="54">
        <f t="shared" ref="R42:R49" si="24">IF(O42,(M42/O42),0)</f>
        <v>21.536248512682054</v>
      </c>
      <c r="S42" s="73">
        <f>(MAX(Q42:Q49)-SMALL(Q42:Q49,COUNTIF(Q42:Q49,0)+1))/SMALL(Q42:Q49,COUNTIF(Q42:Q49,0)+1)*100%</f>
        <v>6.3228058230870021E-3</v>
      </c>
      <c r="T42" s="74"/>
    </row>
    <row r="43" spans="2:23" ht="16.5" customHeight="1">
      <c r="H43" s="52" t="s">
        <v>2</v>
      </c>
      <c r="I43" s="18">
        <v>2073</v>
      </c>
      <c r="J43" s="18">
        <v>2338</v>
      </c>
      <c r="K43" s="18">
        <v>1859</v>
      </c>
      <c r="L43" s="18">
        <v>2336</v>
      </c>
      <c r="M43" s="70">
        <f>SQRT((K43-I43)^2+(L43-J43)^2)</f>
        <v>214.00934559032697</v>
      </c>
      <c r="N43" s="71"/>
      <c r="O43" s="72">
        <f t="shared" si="22"/>
        <v>10</v>
      </c>
      <c r="P43" s="71"/>
      <c r="Q43" s="53">
        <f t="shared" si="23"/>
        <v>4.6726931351599769E-2</v>
      </c>
      <c r="R43" s="54">
        <f t="shared" si="24"/>
        <v>21.400934559032699</v>
      </c>
      <c r="S43" s="75"/>
      <c r="T43" s="74"/>
    </row>
    <row r="44" spans="2:23" ht="16.5" customHeight="1">
      <c r="H44" s="52" t="s">
        <v>4</v>
      </c>
      <c r="I44" s="18"/>
      <c r="J44" s="18"/>
      <c r="K44" s="18"/>
      <c r="L44" s="18"/>
      <c r="M44" s="70">
        <f t="shared" si="21"/>
        <v>0</v>
      </c>
      <c r="N44" s="71"/>
      <c r="O44" s="72">
        <f t="shared" si="22"/>
        <v>0</v>
      </c>
      <c r="P44" s="71"/>
      <c r="Q44" s="53">
        <f t="shared" si="23"/>
        <v>0</v>
      </c>
      <c r="R44" s="54">
        <f t="shared" si="24"/>
        <v>0</v>
      </c>
      <c r="S44" s="75"/>
      <c r="T44" s="74"/>
    </row>
    <row r="45" spans="2:23" ht="16.5" customHeight="1">
      <c r="H45" s="52" t="s">
        <v>5</v>
      </c>
      <c r="I45" s="18"/>
      <c r="J45" s="18"/>
      <c r="K45" s="18"/>
      <c r="L45" s="18"/>
      <c r="M45" s="70">
        <f t="shared" si="21"/>
        <v>0</v>
      </c>
      <c r="N45" s="71"/>
      <c r="O45" s="72">
        <f t="shared" si="22"/>
        <v>0</v>
      </c>
      <c r="P45" s="71"/>
      <c r="Q45" s="53">
        <f t="shared" si="23"/>
        <v>0</v>
      </c>
      <c r="R45" s="54">
        <f t="shared" si="24"/>
        <v>0</v>
      </c>
      <c r="S45" s="75"/>
      <c r="T45" s="74"/>
    </row>
    <row r="46" spans="2:23" ht="16.5" customHeight="1">
      <c r="B46" s="63"/>
      <c r="C46" s="63"/>
      <c r="D46" s="63"/>
      <c r="E46" s="63"/>
      <c r="F46" s="63"/>
      <c r="H46" s="55" t="s">
        <v>63</v>
      </c>
      <c r="I46" s="56"/>
      <c r="J46" s="56"/>
      <c r="K46" s="56"/>
      <c r="L46" s="56"/>
      <c r="M46" s="70">
        <f t="shared" si="21"/>
        <v>0</v>
      </c>
      <c r="N46" s="71"/>
      <c r="O46" s="72">
        <f t="shared" si="22"/>
        <v>0</v>
      </c>
      <c r="P46" s="71"/>
      <c r="Q46" s="53">
        <f t="shared" si="23"/>
        <v>0</v>
      </c>
      <c r="R46" s="54">
        <f t="shared" si="24"/>
        <v>0</v>
      </c>
      <c r="S46" s="75"/>
      <c r="T46" s="74"/>
    </row>
    <row r="47" spans="2:23" ht="16.5" customHeight="1">
      <c r="B47" s="63"/>
      <c r="C47" s="63"/>
      <c r="D47" s="63"/>
      <c r="E47" s="63"/>
      <c r="F47" s="63"/>
      <c r="H47" s="55" t="s">
        <v>64</v>
      </c>
      <c r="I47" s="56"/>
      <c r="J47" s="56"/>
      <c r="K47" s="56"/>
      <c r="L47" s="56"/>
      <c r="M47" s="70">
        <f t="shared" si="21"/>
        <v>0</v>
      </c>
      <c r="N47" s="71"/>
      <c r="O47" s="72">
        <f t="shared" si="22"/>
        <v>0</v>
      </c>
      <c r="P47" s="71"/>
      <c r="Q47" s="53">
        <f t="shared" si="23"/>
        <v>0</v>
      </c>
      <c r="R47" s="54">
        <f t="shared" si="24"/>
        <v>0</v>
      </c>
      <c r="S47" s="75"/>
      <c r="T47" s="74"/>
    </row>
    <row r="48" spans="2:23" ht="16.5" customHeight="1">
      <c r="B48" s="63"/>
      <c r="C48" s="63"/>
      <c r="D48" s="63"/>
      <c r="E48" s="63"/>
      <c r="F48" s="63"/>
      <c r="H48" s="55" t="s">
        <v>65</v>
      </c>
      <c r="I48" s="56"/>
      <c r="J48" s="56"/>
      <c r="K48" s="56"/>
      <c r="L48" s="56"/>
      <c r="M48" s="70">
        <f t="shared" si="21"/>
        <v>0</v>
      </c>
      <c r="N48" s="71"/>
      <c r="O48" s="72">
        <f t="shared" si="22"/>
        <v>0</v>
      </c>
      <c r="P48" s="71"/>
      <c r="Q48" s="53">
        <f t="shared" si="23"/>
        <v>0</v>
      </c>
      <c r="R48" s="54">
        <f t="shared" si="24"/>
        <v>0</v>
      </c>
      <c r="S48" s="75"/>
      <c r="T48" s="74"/>
    </row>
    <row r="49" spans="7:20" ht="16.5" customHeight="1" thickBot="1">
      <c r="H49" s="57" t="s">
        <v>66</v>
      </c>
      <c r="I49" s="26"/>
      <c r="J49" s="26"/>
      <c r="K49" s="26"/>
      <c r="L49" s="26"/>
      <c r="M49" s="70">
        <f t="shared" si="21"/>
        <v>0</v>
      </c>
      <c r="N49" s="71"/>
      <c r="O49" s="72">
        <f t="shared" si="22"/>
        <v>0</v>
      </c>
      <c r="P49" s="71"/>
      <c r="Q49" s="53">
        <f t="shared" si="23"/>
        <v>0</v>
      </c>
      <c r="R49" s="54">
        <f t="shared" si="24"/>
        <v>0</v>
      </c>
      <c r="S49" s="76"/>
      <c r="T49" s="77"/>
    </row>
    <row r="50" spans="7:20" ht="16.5" customHeight="1" thickBot="1">
      <c r="G50" s="60" t="s">
        <v>73</v>
      </c>
      <c r="H50" s="64" t="s">
        <v>68</v>
      </c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6"/>
    </row>
    <row r="51" spans="7:20" ht="16.5" customHeight="1">
      <c r="G51" s="58"/>
      <c r="H51" s="47" t="s">
        <v>48</v>
      </c>
      <c r="I51" s="32" t="s">
        <v>49</v>
      </c>
      <c r="J51" s="32" t="s">
        <v>50</v>
      </c>
      <c r="K51" s="32" t="s">
        <v>51</v>
      </c>
      <c r="L51" s="32" t="s">
        <v>52</v>
      </c>
      <c r="M51" s="67" t="s">
        <v>53</v>
      </c>
      <c r="N51" s="68"/>
      <c r="O51" s="69" t="s">
        <v>54</v>
      </c>
      <c r="P51" s="68"/>
      <c r="Q51" s="48" t="s">
        <v>55</v>
      </c>
      <c r="R51" s="49" t="s">
        <v>56</v>
      </c>
      <c r="S51" s="50" t="s">
        <v>57</v>
      </c>
      <c r="T51" s="51"/>
    </row>
    <row r="52" spans="7:20" ht="16.5" customHeight="1">
      <c r="H52" s="52" t="s">
        <v>0</v>
      </c>
      <c r="I52" s="18">
        <v>635</v>
      </c>
      <c r="J52" s="18">
        <v>2532</v>
      </c>
      <c r="K52" s="18">
        <v>503</v>
      </c>
      <c r="L52" s="18">
        <v>2578</v>
      </c>
      <c r="M52" s="70">
        <f t="shared" ref="M52:M59" si="25">SQRT((K52-I52)^2+(L52-J52)^2)</f>
        <v>139.78555004005241</v>
      </c>
      <c r="N52" s="71"/>
      <c r="O52" s="72">
        <f t="shared" ref="O52:O59" si="26">O42</f>
        <v>10</v>
      </c>
      <c r="P52" s="71"/>
      <c r="Q52" s="53">
        <f t="shared" ref="Q52:Q59" si="27">IF(M52,(O52/M52),0)</f>
        <v>7.153815252817422E-2</v>
      </c>
      <c r="R52" s="54">
        <f t="shared" ref="R52:R59" si="28">IF(O52,(M52/O52),0)</f>
        <v>13.978555004005241</v>
      </c>
      <c r="S52" s="73">
        <f>(MAX(Q52:Q59)-SMALL(Q52:Q59,COUNTIF(Q52:Q59,0)+1))/SMALL(Q52:Q59,COUNTIF(Q52:Q59,0)+1)*100%</f>
        <v>2.0658814402856086E-2</v>
      </c>
      <c r="T52" s="74"/>
    </row>
    <row r="53" spans="7:20" ht="16.5" customHeight="1">
      <c r="H53" s="52" t="s">
        <v>2</v>
      </c>
      <c r="I53" s="18">
        <v>649</v>
      </c>
      <c r="J53" s="18">
        <v>2769</v>
      </c>
      <c r="K53" s="18">
        <v>520</v>
      </c>
      <c r="L53" s="18">
        <v>2815</v>
      </c>
      <c r="M53" s="70">
        <f t="shared" si="25"/>
        <v>136.95619737711763</v>
      </c>
      <c r="N53" s="71"/>
      <c r="O53" s="72">
        <f t="shared" si="26"/>
        <v>10</v>
      </c>
      <c r="P53" s="71"/>
      <c r="Q53" s="53">
        <f t="shared" si="27"/>
        <v>7.3016045943976982E-2</v>
      </c>
      <c r="R53" s="54">
        <f t="shared" si="28"/>
        <v>13.695619737711763</v>
      </c>
      <c r="S53" s="75"/>
      <c r="T53" s="74"/>
    </row>
    <row r="54" spans="7:20" ht="16.5" customHeight="1">
      <c r="H54" s="52" t="s">
        <v>4</v>
      </c>
      <c r="I54" s="18"/>
      <c r="J54" s="18"/>
      <c r="K54" s="18"/>
      <c r="L54" s="18"/>
      <c r="M54" s="70">
        <f t="shared" si="25"/>
        <v>0</v>
      </c>
      <c r="N54" s="71"/>
      <c r="O54" s="72">
        <f t="shared" si="26"/>
        <v>0</v>
      </c>
      <c r="P54" s="71"/>
      <c r="Q54" s="53">
        <f t="shared" si="27"/>
        <v>0</v>
      </c>
      <c r="R54" s="54">
        <f t="shared" si="28"/>
        <v>0</v>
      </c>
      <c r="S54" s="75"/>
      <c r="T54" s="74"/>
    </row>
    <row r="55" spans="7:20" ht="16.5" customHeight="1">
      <c r="H55" s="52" t="s">
        <v>5</v>
      </c>
      <c r="I55" s="18"/>
      <c r="J55" s="18"/>
      <c r="K55" s="18"/>
      <c r="L55" s="18"/>
      <c r="M55" s="70">
        <f t="shared" si="25"/>
        <v>0</v>
      </c>
      <c r="N55" s="71"/>
      <c r="O55" s="72">
        <f t="shared" si="26"/>
        <v>0</v>
      </c>
      <c r="P55" s="71"/>
      <c r="Q55" s="53">
        <f t="shared" si="27"/>
        <v>0</v>
      </c>
      <c r="R55" s="54">
        <f t="shared" si="28"/>
        <v>0</v>
      </c>
      <c r="S55" s="75"/>
      <c r="T55" s="74"/>
    </row>
    <row r="56" spans="7:20" ht="16.5" customHeight="1">
      <c r="H56" s="55" t="s">
        <v>63</v>
      </c>
      <c r="I56" s="56"/>
      <c r="J56" s="56"/>
      <c r="K56" s="56"/>
      <c r="L56" s="56"/>
      <c r="M56" s="70">
        <f t="shared" si="25"/>
        <v>0</v>
      </c>
      <c r="N56" s="71"/>
      <c r="O56" s="72">
        <f t="shared" si="26"/>
        <v>0</v>
      </c>
      <c r="P56" s="71"/>
      <c r="Q56" s="53">
        <f t="shared" si="27"/>
        <v>0</v>
      </c>
      <c r="R56" s="54">
        <f t="shared" si="28"/>
        <v>0</v>
      </c>
      <c r="S56" s="75"/>
      <c r="T56" s="74"/>
    </row>
    <row r="57" spans="7:20" ht="16.5" customHeight="1">
      <c r="H57" s="55" t="s">
        <v>64</v>
      </c>
      <c r="I57" s="56"/>
      <c r="J57" s="56"/>
      <c r="K57" s="56"/>
      <c r="L57" s="56"/>
      <c r="M57" s="70">
        <f t="shared" si="25"/>
        <v>0</v>
      </c>
      <c r="N57" s="71"/>
      <c r="O57" s="72">
        <f t="shared" si="26"/>
        <v>0</v>
      </c>
      <c r="P57" s="71"/>
      <c r="Q57" s="53">
        <f t="shared" si="27"/>
        <v>0</v>
      </c>
      <c r="R57" s="54">
        <f t="shared" si="28"/>
        <v>0</v>
      </c>
      <c r="S57" s="75"/>
      <c r="T57" s="74"/>
    </row>
    <row r="58" spans="7:20" ht="16.5" customHeight="1">
      <c r="H58" s="55" t="s">
        <v>65</v>
      </c>
      <c r="I58" s="56"/>
      <c r="J58" s="56"/>
      <c r="K58" s="56"/>
      <c r="L58" s="56"/>
      <c r="M58" s="70">
        <f t="shared" si="25"/>
        <v>0</v>
      </c>
      <c r="N58" s="71"/>
      <c r="O58" s="72">
        <f t="shared" si="26"/>
        <v>0</v>
      </c>
      <c r="P58" s="71"/>
      <c r="Q58" s="53">
        <f t="shared" si="27"/>
        <v>0</v>
      </c>
      <c r="R58" s="54">
        <f t="shared" si="28"/>
        <v>0</v>
      </c>
      <c r="S58" s="75"/>
      <c r="T58" s="74"/>
    </row>
    <row r="59" spans="7:20" ht="16.5" customHeight="1" thickBot="1">
      <c r="H59" s="57" t="s">
        <v>66</v>
      </c>
      <c r="I59" s="26"/>
      <c r="J59" s="26"/>
      <c r="K59" s="26"/>
      <c r="L59" s="26"/>
      <c r="M59" s="70">
        <f t="shared" si="25"/>
        <v>0</v>
      </c>
      <c r="N59" s="71"/>
      <c r="O59" s="72">
        <f t="shared" si="26"/>
        <v>0</v>
      </c>
      <c r="P59" s="71"/>
      <c r="Q59" s="53">
        <f t="shared" si="27"/>
        <v>0</v>
      </c>
      <c r="R59" s="54">
        <f t="shared" si="28"/>
        <v>0</v>
      </c>
      <c r="S59" s="76"/>
      <c r="T59" s="77"/>
    </row>
    <row r="60" spans="7:20" ht="16.5" customHeight="1" thickBot="1">
      <c r="G60" s="61" t="s">
        <v>74</v>
      </c>
      <c r="H60" s="64" t="s">
        <v>69</v>
      </c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6"/>
    </row>
    <row r="61" spans="7:20" ht="16.5" customHeight="1">
      <c r="G61" s="62"/>
      <c r="H61" s="47" t="s">
        <v>48</v>
      </c>
      <c r="I61" s="32" t="s">
        <v>49</v>
      </c>
      <c r="J61" s="32" t="s">
        <v>50</v>
      </c>
      <c r="K61" s="32" t="s">
        <v>51</v>
      </c>
      <c r="L61" s="32" t="s">
        <v>52</v>
      </c>
      <c r="M61" s="67" t="s">
        <v>53</v>
      </c>
      <c r="N61" s="68"/>
      <c r="O61" s="69" t="s">
        <v>54</v>
      </c>
      <c r="P61" s="68"/>
      <c r="Q61" s="48" t="s">
        <v>55</v>
      </c>
      <c r="R61" s="49" t="s">
        <v>56</v>
      </c>
      <c r="S61" s="50" t="s">
        <v>57</v>
      </c>
      <c r="T61" s="51"/>
    </row>
    <row r="62" spans="7:20" ht="16.5" customHeight="1">
      <c r="H62" s="52" t="s">
        <v>0</v>
      </c>
      <c r="I62" s="18">
        <v>331</v>
      </c>
      <c r="J62" s="18">
        <v>2841</v>
      </c>
      <c r="K62" s="18">
        <v>232</v>
      </c>
      <c r="L62" s="18">
        <v>2876</v>
      </c>
      <c r="M62" s="70">
        <f t="shared" ref="M62:M69" si="29">SQRT((K62-I62)^2+(L62-J62)^2)</f>
        <v>105.00476179678711</v>
      </c>
      <c r="N62" s="71"/>
      <c r="O62" s="72">
        <f t="shared" ref="O62:O69" si="30">O52</f>
        <v>10</v>
      </c>
      <c r="P62" s="71"/>
      <c r="Q62" s="53">
        <f t="shared" ref="Q62:Q69" si="31">IF(M62,(O62/M62),0)</f>
        <v>9.5233776343902676E-2</v>
      </c>
      <c r="R62" s="54">
        <f t="shared" ref="R62:R69" si="32">IF(O62,(M62/O62),0)</f>
        <v>10.50047617967871</v>
      </c>
      <c r="S62" s="73">
        <f>(MAX(Q62:Q69)-SMALL(Q62:Q69,COUNTIF(Q62:Q69,0)+1))/SMALL(Q62:Q69,COUNTIF(Q62:Q69,0)+1)*100%</f>
        <v>1.2285132554597093E-2</v>
      </c>
      <c r="T62" s="74"/>
    </row>
    <row r="63" spans="7:20" ht="16.5" customHeight="1">
      <c r="H63" s="52" t="s">
        <v>2</v>
      </c>
      <c r="I63" s="18">
        <v>543</v>
      </c>
      <c r="J63" s="18">
        <v>2805</v>
      </c>
      <c r="K63" s="18">
        <v>445</v>
      </c>
      <c r="L63" s="18">
        <v>2839</v>
      </c>
      <c r="M63" s="70">
        <f t="shared" si="29"/>
        <v>103.73041983911952</v>
      </c>
      <c r="N63" s="71"/>
      <c r="O63" s="72">
        <f t="shared" si="30"/>
        <v>10</v>
      </c>
      <c r="P63" s="71"/>
      <c r="Q63" s="53">
        <f t="shared" si="31"/>
        <v>9.6403735909962374E-2</v>
      </c>
      <c r="R63" s="54">
        <f t="shared" si="32"/>
        <v>10.373041983911952</v>
      </c>
      <c r="S63" s="75"/>
      <c r="T63" s="74"/>
    </row>
    <row r="64" spans="7:20" ht="16.5" customHeight="1">
      <c r="H64" s="52" t="s">
        <v>4</v>
      </c>
      <c r="I64" s="18"/>
      <c r="J64" s="18"/>
      <c r="K64" s="18"/>
      <c r="L64" s="18"/>
      <c r="M64" s="70">
        <f t="shared" si="29"/>
        <v>0</v>
      </c>
      <c r="N64" s="71"/>
      <c r="O64" s="72">
        <f t="shared" si="30"/>
        <v>0</v>
      </c>
      <c r="P64" s="71"/>
      <c r="Q64" s="53">
        <f t="shared" si="31"/>
        <v>0</v>
      </c>
      <c r="R64" s="54">
        <f t="shared" si="32"/>
        <v>0</v>
      </c>
      <c r="S64" s="75"/>
      <c r="T64" s="74"/>
    </row>
    <row r="65" spans="7:20" ht="16.5" customHeight="1">
      <c r="H65" s="52" t="s">
        <v>5</v>
      </c>
      <c r="I65" s="18"/>
      <c r="J65" s="18"/>
      <c r="K65" s="18"/>
      <c r="L65" s="18"/>
      <c r="M65" s="70">
        <f t="shared" si="29"/>
        <v>0</v>
      </c>
      <c r="N65" s="71"/>
      <c r="O65" s="72">
        <f t="shared" si="30"/>
        <v>0</v>
      </c>
      <c r="P65" s="71"/>
      <c r="Q65" s="53">
        <f t="shared" si="31"/>
        <v>0</v>
      </c>
      <c r="R65" s="54">
        <f t="shared" si="32"/>
        <v>0</v>
      </c>
      <c r="S65" s="75"/>
      <c r="T65" s="74"/>
    </row>
    <row r="66" spans="7:20" ht="16.5" customHeight="1">
      <c r="H66" s="55" t="s">
        <v>63</v>
      </c>
      <c r="I66" s="56"/>
      <c r="J66" s="56"/>
      <c r="K66" s="56"/>
      <c r="L66" s="56"/>
      <c r="M66" s="70">
        <f t="shared" si="29"/>
        <v>0</v>
      </c>
      <c r="N66" s="71"/>
      <c r="O66" s="72">
        <f t="shared" si="30"/>
        <v>0</v>
      </c>
      <c r="P66" s="71"/>
      <c r="Q66" s="53">
        <f t="shared" si="31"/>
        <v>0</v>
      </c>
      <c r="R66" s="54">
        <f t="shared" si="32"/>
        <v>0</v>
      </c>
      <c r="S66" s="75"/>
      <c r="T66" s="74"/>
    </row>
    <row r="67" spans="7:20" ht="16.5" customHeight="1">
      <c r="H67" s="55" t="s">
        <v>64</v>
      </c>
      <c r="I67" s="56"/>
      <c r="J67" s="56"/>
      <c r="K67" s="56"/>
      <c r="L67" s="56"/>
      <c r="M67" s="70">
        <f t="shared" si="29"/>
        <v>0</v>
      </c>
      <c r="N67" s="71"/>
      <c r="O67" s="72">
        <f t="shared" si="30"/>
        <v>0</v>
      </c>
      <c r="P67" s="71"/>
      <c r="Q67" s="53">
        <f t="shared" si="31"/>
        <v>0</v>
      </c>
      <c r="R67" s="54">
        <f t="shared" si="32"/>
        <v>0</v>
      </c>
      <c r="S67" s="75"/>
      <c r="T67" s="74"/>
    </row>
    <row r="68" spans="7:20" ht="16.5" customHeight="1">
      <c r="H68" s="55" t="s">
        <v>65</v>
      </c>
      <c r="I68" s="56"/>
      <c r="J68" s="56"/>
      <c r="K68" s="56"/>
      <c r="L68" s="56"/>
      <c r="M68" s="70">
        <f t="shared" si="29"/>
        <v>0</v>
      </c>
      <c r="N68" s="71"/>
      <c r="O68" s="72">
        <f t="shared" si="30"/>
        <v>0</v>
      </c>
      <c r="P68" s="71"/>
      <c r="Q68" s="53">
        <f t="shared" si="31"/>
        <v>0</v>
      </c>
      <c r="R68" s="54">
        <f t="shared" si="32"/>
        <v>0</v>
      </c>
      <c r="S68" s="75"/>
      <c r="T68" s="74"/>
    </row>
    <row r="69" spans="7:20" ht="16.5" customHeight="1" thickBot="1">
      <c r="H69" s="57" t="s">
        <v>66</v>
      </c>
      <c r="I69" s="26"/>
      <c r="J69" s="26"/>
      <c r="K69" s="26"/>
      <c r="L69" s="26"/>
      <c r="M69" s="70">
        <f t="shared" si="29"/>
        <v>0</v>
      </c>
      <c r="N69" s="71"/>
      <c r="O69" s="72">
        <f t="shared" si="30"/>
        <v>0</v>
      </c>
      <c r="P69" s="71"/>
      <c r="Q69" s="53">
        <f t="shared" si="31"/>
        <v>0</v>
      </c>
      <c r="R69" s="54">
        <f t="shared" si="32"/>
        <v>0</v>
      </c>
      <c r="S69" s="76"/>
      <c r="T69" s="77"/>
    </row>
    <row r="70" spans="7:20" ht="16.5" customHeight="1" thickBot="1">
      <c r="G70" s="61" t="s">
        <v>75</v>
      </c>
      <c r="H70" s="64" t="s">
        <v>70</v>
      </c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6"/>
    </row>
    <row r="71" spans="7:20" ht="16.5" customHeight="1">
      <c r="G71" s="62" t="s">
        <v>76</v>
      </c>
      <c r="H71" s="47" t="s">
        <v>48</v>
      </c>
      <c r="I71" s="32" t="s">
        <v>49</v>
      </c>
      <c r="J71" s="32" t="s">
        <v>50</v>
      </c>
      <c r="K71" s="32" t="s">
        <v>51</v>
      </c>
      <c r="L71" s="32" t="s">
        <v>52</v>
      </c>
      <c r="M71" s="67" t="s">
        <v>53</v>
      </c>
      <c r="N71" s="68"/>
      <c r="O71" s="69" t="s">
        <v>54</v>
      </c>
      <c r="P71" s="68"/>
      <c r="Q71" s="48" t="s">
        <v>55</v>
      </c>
      <c r="R71" s="49" t="s">
        <v>56</v>
      </c>
      <c r="S71" s="50" t="s">
        <v>57</v>
      </c>
      <c r="T71" s="51"/>
    </row>
    <row r="72" spans="7:20" ht="16.5" customHeight="1">
      <c r="H72" s="52" t="s">
        <v>0</v>
      </c>
      <c r="I72" s="18">
        <v>2311</v>
      </c>
      <c r="J72" s="18">
        <v>2267</v>
      </c>
      <c r="K72" s="18">
        <v>2232</v>
      </c>
      <c r="L72" s="18">
        <v>2294</v>
      </c>
      <c r="M72" s="70">
        <f t="shared" ref="M72:M79" si="33">SQRT((K72-I72)^2+(L72-J72)^2)</f>
        <v>83.486525858967212</v>
      </c>
      <c r="N72" s="71"/>
      <c r="O72" s="72">
        <f t="shared" ref="O72:O79" si="34">O62</f>
        <v>10</v>
      </c>
      <c r="P72" s="71"/>
      <c r="Q72" s="53">
        <f t="shared" ref="Q72:Q79" si="35">IF(M72,(O72/M72),0)</f>
        <v>0.11977980754514662</v>
      </c>
      <c r="R72" s="54">
        <f t="shared" ref="R72:R79" si="36">IF(O72,(M72/O72),0)</f>
        <v>8.3486525858967209</v>
      </c>
      <c r="S72" s="73">
        <f>(MAX(Q72:Q79)-SMALL(Q72:Q79,COUNTIF(Q72:Q79,0)+1))/SMALL(Q72:Q79,COUNTIF(Q72:Q79,0)+1)*100%</f>
        <v>0</v>
      </c>
      <c r="T72" s="74"/>
    </row>
    <row r="73" spans="7:20" ht="16.5" customHeight="1">
      <c r="H73" s="52" t="s">
        <v>2</v>
      </c>
      <c r="I73" s="18">
        <v>2162</v>
      </c>
      <c r="J73" s="18">
        <v>2349</v>
      </c>
      <c r="K73" s="18">
        <v>2083</v>
      </c>
      <c r="L73" s="18">
        <v>2376</v>
      </c>
      <c r="M73" s="70">
        <f t="shared" si="33"/>
        <v>83.486525858967212</v>
      </c>
      <c r="N73" s="71"/>
      <c r="O73" s="72">
        <f t="shared" si="34"/>
        <v>10</v>
      </c>
      <c r="P73" s="71"/>
      <c r="Q73" s="53">
        <f t="shared" si="35"/>
        <v>0.11977980754514662</v>
      </c>
      <c r="R73" s="54">
        <f t="shared" si="36"/>
        <v>8.3486525858967209</v>
      </c>
      <c r="S73" s="75"/>
      <c r="T73" s="74"/>
    </row>
    <row r="74" spans="7:20" ht="16.5" customHeight="1">
      <c r="H74" s="52" t="s">
        <v>4</v>
      </c>
      <c r="I74" s="18"/>
      <c r="J74" s="18"/>
      <c r="K74" s="18"/>
      <c r="L74" s="18"/>
      <c r="M74" s="70">
        <f t="shared" si="33"/>
        <v>0</v>
      </c>
      <c r="N74" s="71"/>
      <c r="O74" s="72">
        <f t="shared" si="34"/>
        <v>0</v>
      </c>
      <c r="P74" s="71"/>
      <c r="Q74" s="53">
        <f t="shared" si="35"/>
        <v>0</v>
      </c>
      <c r="R74" s="54">
        <f t="shared" si="36"/>
        <v>0</v>
      </c>
      <c r="S74" s="75"/>
      <c r="T74" s="74"/>
    </row>
    <row r="75" spans="7:20" ht="16.5" customHeight="1">
      <c r="H75" s="52" t="s">
        <v>5</v>
      </c>
      <c r="I75" s="18"/>
      <c r="J75" s="18"/>
      <c r="K75" s="18"/>
      <c r="L75" s="18"/>
      <c r="M75" s="70">
        <f t="shared" si="33"/>
        <v>0</v>
      </c>
      <c r="N75" s="71"/>
      <c r="O75" s="72">
        <f t="shared" si="34"/>
        <v>0</v>
      </c>
      <c r="P75" s="71"/>
      <c r="Q75" s="53">
        <f t="shared" si="35"/>
        <v>0</v>
      </c>
      <c r="R75" s="54">
        <f t="shared" si="36"/>
        <v>0</v>
      </c>
      <c r="S75" s="75"/>
      <c r="T75" s="74"/>
    </row>
    <row r="76" spans="7:20" ht="16.5" customHeight="1">
      <c r="H76" s="55" t="s">
        <v>63</v>
      </c>
      <c r="I76" s="56"/>
      <c r="J76" s="56"/>
      <c r="K76" s="56"/>
      <c r="L76" s="56"/>
      <c r="M76" s="70">
        <f t="shared" si="33"/>
        <v>0</v>
      </c>
      <c r="N76" s="71"/>
      <c r="O76" s="72">
        <f t="shared" si="34"/>
        <v>0</v>
      </c>
      <c r="P76" s="71"/>
      <c r="Q76" s="53">
        <f t="shared" si="35"/>
        <v>0</v>
      </c>
      <c r="R76" s="54">
        <f t="shared" si="36"/>
        <v>0</v>
      </c>
      <c r="S76" s="75"/>
      <c r="T76" s="74"/>
    </row>
    <row r="77" spans="7:20" ht="16.5" customHeight="1">
      <c r="H77" s="55" t="s">
        <v>64</v>
      </c>
      <c r="I77" s="56"/>
      <c r="J77" s="56"/>
      <c r="K77" s="56"/>
      <c r="L77" s="56"/>
      <c r="M77" s="70">
        <f t="shared" si="33"/>
        <v>0</v>
      </c>
      <c r="N77" s="71"/>
      <c r="O77" s="72">
        <f t="shared" si="34"/>
        <v>0</v>
      </c>
      <c r="P77" s="71"/>
      <c r="Q77" s="53">
        <f t="shared" si="35"/>
        <v>0</v>
      </c>
      <c r="R77" s="54">
        <f t="shared" si="36"/>
        <v>0</v>
      </c>
      <c r="S77" s="75"/>
      <c r="T77" s="74"/>
    </row>
    <row r="78" spans="7:20" ht="16.5" customHeight="1">
      <c r="H78" s="55" t="s">
        <v>65</v>
      </c>
      <c r="I78" s="56"/>
      <c r="J78" s="56"/>
      <c r="K78" s="56"/>
      <c r="L78" s="56"/>
      <c r="M78" s="70">
        <f t="shared" si="33"/>
        <v>0</v>
      </c>
      <c r="N78" s="71"/>
      <c r="O78" s="72">
        <f t="shared" si="34"/>
        <v>0</v>
      </c>
      <c r="P78" s="71"/>
      <c r="Q78" s="53">
        <f t="shared" si="35"/>
        <v>0</v>
      </c>
      <c r="R78" s="54">
        <f t="shared" si="36"/>
        <v>0</v>
      </c>
      <c r="S78" s="75"/>
      <c r="T78" s="74"/>
    </row>
    <row r="79" spans="7:20" ht="16.5" customHeight="1" thickBot="1">
      <c r="H79" s="57" t="s">
        <v>66</v>
      </c>
      <c r="I79" s="26"/>
      <c r="J79" s="26"/>
      <c r="K79" s="26"/>
      <c r="L79" s="26"/>
      <c r="M79" s="70">
        <f t="shared" si="33"/>
        <v>0</v>
      </c>
      <c r="N79" s="71"/>
      <c r="O79" s="72">
        <f t="shared" si="34"/>
        <v>0</v>
      </c>
      <c r="P79" s="71"/>
      <c r="Q79" s="53">
        <f t="shared" si="35"/>
        <v>0</v>
      </c>
      <c r="R79" s="54">
        <f t="shared" si="36"/>
        <v>0</v>
      </c>
      <c r="S79" s="76"/>
      <c r="T79" s="77"/>
    </row>
    <row r="80" spans="7:20" ht="16.5" customHeight="1"/>
    <row r="81" customFormat="1" ht="16.5" customHeight="1"/>
    <row r="82" customFormat="1" ht="16.5" customHeight="1"/>
    <row r="83" customFormat="1" ht="16.5" customHeight="1"/>
    <row r="84" customFormat="1" ht="16.5" customHeight="1"/>
    <row r="85" customFormat="1" ht="16.5" customHeight="1"/>
    <row r="86" customFormat="1" ht="16.5" customHeight="1"/>
    <row r="87" customFormat="1" ht="16.5" customHeight="1"/>
    <row r="88" customFormat="1" ht="16.5" customHeight="1"/>
    <row r="89" customFormat="1" ht="16.5" customHeight="1"/>
    <row r="90" customFormat="1" ht="16.5" customHeight="1"/>
    <row r="91" customFormat="1" ht="16.5" customHeight="1"/>
    <row r="92" customFormat="1" ht="16.5" customHeight="1"/>
    <row r="93" customFormat="1" ht="16.5" customHeight="1"/>
    <row r="94" customFormat="1" ht="16.5" customHeight="1"/>
    <row r="95" customFormat="1" ht="16.5" customHeight="1"/>
    <row r="96" customFormat="1" ht="16.5" customHeight="1"/>
    <row r="97" customFormat="1" ht="16.5" customHeight="1"/>
    <row r="98" customFormat="1" ht="16.5" customHeight="1"/>
    <row r="99" customFormat="1" ht="16.5" customHeight="1"/>
    <row r="100" customFormat="1" ht="16.5" customHeight="1"/>
    <row r="101" customFormat="1" ht="16.5" customHeight="1"/>
    <row r="102" customFormat="1" ht="16.5" customHeight="1"/>
    <row r="103" customFormat="1" ht="16.5" customHeight="1"/>
    <row r="104" customFormat="1" ht="16.5" customHeight="1"/>
    <row r="105" customFormat="1" ht="16.5" customHeight="1"/>
    <row r="106" customFormat="1" ht="16.5" customHeight="1"/>
    <row r="107" customFormat="1" ht="16.5" customHeight="1"/>
    <row r="108" customFormat="1" ht="16.5" customHeight="1"/>
    <row r="109" customFormat="1" ht="16.5" customHeight="1"/>
    <row r="110" customFormat="1" ht="16.5" customHeight="1"/>
    <row r="111" customFormat="1" ht="16.5" customHeight="1"/>
    <row r="112" customFormat="1" ht="16.5" customHeight="1"/>
    <row r="113" customFormat="1" ht="16.5" customHeight="1"/>
    <row r="114" customFormat="1" ht="16.5" customHeight="1"/>
    <row r="115" customFormat="1" ht="16.5" customHeight="1"/>
    <row r="116" customFormat="1" ht="16.5" customHeight="1"/>
    <row r="117" customFormat="1" ht="16.5" customHeight="1"/>
    <row r="118" customFormat="1" ht="16.5" customHeight="1"/>
    <row r="119" customFormat="1" ht="16.5" customHeight="1"/>
    <row r="120" customFormat="1" ht="16.5" customHeight="1"/>
    <row r="121" customFormat="1" ht="16.5" customHeight="1"/>
    <row r="122" customFormat="1" ht="16.5" customHeight="1"/>
    <row r="123" customFormat="1" ht="16.5" customHeight="1"/>
    <row r="124" customFormat="1" ht="16.5" customHeight="1"/>
    <row r="125" customFormat="1" ht="16.5" customHeight="1"/>
    <row r="126" customFormat="1" ht="16.5" customHeight="1"/>
    <row r="127" customFormat="1" ht="16.5" customHeight="1"/>
    <row r="128" customFormat="1" ht="16.5" customHeight="1"/>
    <row r="129" customFormat="1" ht="16.5" customHeight="1"/>
    <row r="130" customFormat="1" ht="16.5" customHeight="1"/>
    <row r="131" customFormat="1" ht="16.5" customHeight="1"/>
    <row r="132" customFormat="1" ht="16.5" customHeight="1"/>
    <row r="133" customFormat="1" ht="16.5" customHeight="1"/>
    <row r="134" customFormat="1" ht="16.5" customHeight="1"/>
    <row r="135" customFormat="1" ht="16.5" customHeight="1"/>
    <row r="136" customFormat="1" ht="16.5" customHeight="1"/>
    <row r="137" customFormat="1" ht="16.5" customHeight="1"/>
    <row r="138" customFormat="1" ht="16.5" customHeight="1"/>
    <row r="139" customFormat="1" ht="16.5" customHeight="1"/>
    <row r="140" customFormat="1" ht="16.5" customHeight="1"/>
    <row r="141" customFormat="1" ht="16.5" customHeight="1"/>
    <row r="142" customFormat="1" ht="16.5" customHeight="1"/>
    <row r="143" customFormat="1" ht="16.5" customHeight="1"/>
    <row r="144" customFormat="1" ht="16.5" customHeight="1"/>
    <row r="145" customFormat="1" ht="16.5" customHeight="1"/>
    <row r="146" customFormat="1" ht="16.5" customHeight="1"/>
    <row r="147" customFormat="1" ht="16.5" customHeight="1"/>
    <row r="148" customFormat="1" ht="16.5" customHeight="1"/>
    <row r="149" customFormat="1" ht="16.5" customHeight="1"/>
    <row r="150" customFormat="1" ht="16.5" customHeight="1"/>
    <row r="151" customFormat="1" ht="16.5" customHeight="1"/>
    <row r="152" customFormat="1" ht="16.5" customHeight="1"/>
    <row r="153" customFormat="1" ht="16.5" customHeight="1"/>
    <row r="154" customFormat="1" ht="16.5" customHeight="1"/>
    <row r="155" customFormat="1" ht="16.5" customHeight="1"/>
    <row r="156" customFormat="1" ht="16.5" customHeight="1"/>
    <row r="157" customFormat="1" ht="16.5" customHeight="1"/>
    <row r="158" customFormat="1" ht="16.5" customHeight="1"/>
    <row r="159" customFormat="1" ht="16.5" customHeight="1"/>
    <row r="160" customFormat="1" ht="16.5" customHeight="1"/>
    <row r="161" customFormat="1" ht="16.5" customHeight="1"/>
    <row r="162" customFormat="1" ht="16.5" customHeight="1"/>
    <row r="163" customFormat="1" ht="16.5" customHeight="1"/>
    <row r="164" customFormat="1" ht="16.5" customHeight="1"/>
    <row r="165" customFormat="1" ht="16.5" customHeight="1"/>
    <row r="166" customFormat="1" ht="16.5" customHeight="1"/>
    <row r="167" customFormat="1" ht="16.5" customHeight="1"/>
    <row r="168" customFormat="1" ht="16.5" customHeight="1"/>
    <row r="169" customFormat="1" ht="16.5" customHeight="1"/>
    <row r="170" customFormat="1" ht="16.5" customHeight="1"/>
    <row r="171" customFormat="1" ht="16.5" customHeight="1"/>
    <row r="172" customFormat="1" ht="16.5" customHeight="1"/>
    <row r="173" customFormat="1" ht="16.5" customHeight="1"/>
    <row r="174" customFormat="1" ht="16.5" customHeight="1"/>
    <row r="175" customFormat="1" ht="16.5" customHeight="1"/>
    <row r="176" customFormat="1" ht="16.5" customHeight="1"/>
    <row r="177" customFormat="1" ht="16.5" customHeight="1"/>
    <row r="178" customFormat="1" ht="16.5" customHeight="1"/>
    <row r="179" customFormat="1" ht="16.5" customHeight="1"/>
    <row r="180" customFormat="1" ht="16.5" customHeight="1"/>
    <row r="181" customFormat="1" ht="16.5" customHeight="1"/>
    <row r="182" customFormat="1" ht="16.5" customHeight="1"/>
    <row r="183" customFormat="1" ht="16.5" customHeight="1"/>
    <row r="184" customFormat="1" ht="16.5" customHeight="1"/>
    <row r="185" customFormat="1" ht="16.5" customHeight="1"/>
    <row r="186" customFormat="1" ht="16.5" customHeight="1"/>
    <row r="187" customFormat="1" ht="16.5" customHeight="1"/>
    <row r="188" customFormat="1" ht="16.5" customHeight="1"/>
    <row r="189" customFormat="1" ht="16.5" customHeight="1"/>
    <row r="190" customFormat="1" ht="16.5" customHeight="1"/>
    <row r="191" customFormat="1" ht="16.5" customHeight="1"/>
    <row r="192" customFormat="1" ht="16.5" customHeight="1"/>
    <row r="193" customFormat="1" ht="16.5" customHeight="1"/>
    <row r="194" customFormat="1" ht="16.5" customHeight="1"/>
    <row r="195" customFormat="1" ht="16.5" customHeight="1"/>
    <row r="196" customFormat="1" ht="16.5" customHeight="1"/>
    <row r="197" customFormat="1" ht="16.5" customHeight="1"/>
    <row r="198" customFormat="1" ht="16.5" customHeight="1"/>
    <row r="199" customFormat="1" ht="16.5" customHeight="1"/>
    <row r="200" customFormat="1" ht="16.5" customHeight="1"/>
    <row r="201" customFormat="1" ht="16.5" customHeight="1"/>
    <row r="202" customFormat="1" ht="16.5" customHeight="1"/>
    <row r="203" customFormat="1" ht="16.5" customHeight="1"/>
    <row r="204" customFormat="1" ht="16.5" customHeight="1"/>
    <row r="205" customFormat="1" ht="16.5" customHeight="1"/>
    <row r="206" customFormat="1" ht="16.5" customHeight="1"/>
    <row r="207" customFormat="1" ht="16.5" customHeight="1"/>
    <row r="208" customFormat="1" ht="16.5" customHeight="1"/>
    <row r="209" customFormat="1" ht="16.5" customHeight="1"/>
    <row r="210" customFormat="1" ht="16.5" customHeight="1"/>
    <row r="211" customFormat="1" ht="16.5" customHeight="1"/>
    <row r="212" customFormat="1" ht="16.5" customHeight="1"/>
    <row r="213" customFormat="1" ht="16.5" customHeight="1"/>
    <row r="214" customFormat="1" ht="16.5" customHeight="1"/>
    <row r="215" customFormat="1" ht="16.5" customHeight="1"/>
    <row r="216" customFormat="1" ht="16.5" customHeight="1"/>
    <row r="217" customFormat="1" ht="16.5" customHeight="1"/>
    <row r="218" customFormat="1" ht="16.5" customHeight="1"/>
    <row r="219" customFormat="1" ht="16.5" customHeight="1"/>
    <row r="220" customFormat="1" ht="16.5" customHeight="1"/>
    <row r="221" customFormat="1" ht="16.5" customHeight="1"/>
    <row r="222" customFormat="1" ht="16.5" customHeight="1"/>
    <row r="223" customFormat="1" ht="16.5" customHeight="1"/>
    <row r="224" customFormat="1" ht="16.5" customHeight="1"/>
    <row r="225" customFormat="1" ht="16.5" customHeight="1"/>
    <row r="226" customFormat="1" ht="16.5" customHeight="1"/>
    <row r="227" customFormat="1" ht="16.5" customHeight="1"/>
    <row r="228" customFormat="1" ht="16.5" customHeight="1"/>
    <row r="229" customFormat="1" ht="16.5" customHeight="1"/>
    <row r="230" customFormat="1" ht="16.5" customHeight="1"/>
    <row r="231" customFormat="1" ht="16.5" customHeight="1"/>
    <row r="232" customFormat="1" ht="16.5" customHeight="1"/>
    <row r="233" customFormat="1" ht="16.5" customHeight="1"/>
    <row r="234" customFormat="1" ht="16.5" customHeight="1"/>
    <row r="235" customFormat="1" ht="16.5" customHeight="1"/>
    <row r="236" customFormat="1" ht="16.5" customHeight="1"/>
    <row r="237" customFormat="1" ht="16.5" customHeight="1"/>
    <row r="238" customFormat="1" ht="16.5" customHeight="1"/>
    <row r="239" customFormat="1" ht="16.5" customHeight="1"/>
    <row r="240" customFormat="1" ht="16.5" customHeight="1"/>
    <row r="241" customFormat="1" ht="16.5" customHeight="1"/>
    <row r="242" customFormat="1" ht="16.5" customHeight="1"/>
    <row r="243" customFormat="1" ht="16.5" customHeight="1"/>
    <row r="244" customFormat="1" ht="16.5" customHeight="1"/>
    <row r="245" customFormat="1" ht="16.5" customHeight="1"/>
    <row r="246" customFormat="1" ht="16.5" customHeight="1"/>
    <row r="247" customFormat="1" ht="16.5" customHeight="1"/>
    <row r="248" customFormat="1" ht="16.5" customHeight="1"/>
    <row r="249" customFormat="1" ht="16.5" customHeight="1"/>
    <row r="250" customFormat="1" ht="16.5" customHeight="1"/>
    <row r="251" customFormat="1" ht="16.5" customHeight="1"/>
    <row r="252" customFormat="1" ht="16.5" customHeight="1"/>
    <row r="253" customFormat="1" ht="16.5" customHeight="1"/>
    <row r="254" customFormat="1" ht="16.5" customHeight="1"/>
    <row r="255" customFormat="1" ht="16.5" customHeight="1"/>
    <row r="256" customFormat="1" ht="16.5" customHeight="1"/>
    <row r="257" customFormat="1" ht="16.5" customHeight="1"/>
    <row r="258" customFormat="1" ht="16.5" customHeight="1"/>
    <row r="259" customFormat="1" ht="16.5" customHeight="1"/>
    <row r="260" customFormat="1" ht="16.5" customHeight="1"/>
    <row r="261" customFormat="1" ht="16.5" customHeight="1"/>
    <row r="262" customFormat="1" ht="16.5" customHeight="1"/>
    <row r="263" customFormat="1" ht="16.5" customHeight="1"/>
    <row r="264" customFormat="1" ht="16.5" customHeight="1"/>
    <row r="265" customFormat="1" ht="16.5" customHeight="1"/>
    <row r="266" customFormat="1" ht="16.5" customHeight="1"/>
    <row r="267" customFormat="1" ht="16.5" customHeight="1"/>
    <row r="268" customFormat="1" ht="16.5" customHeight="1"/>
    <row r="269" customFormat="1" ht="16.5" customHeight="1"/>
    <row r="270" customFormat="1" ht="16.5" customHeight="1"/>
    <row r="271" customFormat="1" ht="16.5" customHeight="1"/>
    <row r="272" customFormat="1" ht="16.5" customHeight="1"/>
    <row r="273" customFormat="1" ht="16.5" customHeight="1"/>
    <row r="274" customFormat="1" ht="16.5" customHeight="1"/>
    <row r="275" customFormat="1" ht="16.5" customHeight="1"/>
    <row r="276" customFormat="1" ht="16.5" customHeight="1"/>
    <row r="277" customFormat="1" ht="16.5" customHeight="1"/>
    <row r="278" customFormat="1" ht="16.5" customHeight="1"/>
    <row r="279" customFormat="1" ht="16.5" customHeight="1"/>
  </sheetData>
  <mergeCells count="180">
    <mergeCell ref="Q15:S15"/>
    <mergeCell ref="T17:V17"/>
    <mergeCell ref="W17:Y17"/>
    <mergeCell ref="Z17:AB17"/>
    <mergeCell ref="Q17:S17"/>
    <mergeCell ref="C2:D2"/>
    <mergeCell ref="C3:D3"/>
    <mergeCell ref="I5:K5"/>
    <mergeCell ref="L5:N5"/>
    <mergeCell ref="Q5:S5"/>
    <mergeCell ref="T5:V5"/>
    <mergeCell ref="W5:Y5"/>
    <mergeCell ref="Z5:AB5"/>
    <mergeCell ref="H6:H11"/>
    <mergeCell ref="P6:P11"/>
    <mergeCell ref="D7:D10"/>
    <mergeCell ref="E7:E10"/>
    <mergeCell ref="F7:F10"/>
    <mergeCell ref="D11:D14"/>
    <mergeCell ref="E11:E14"/>
    <mergeCell ref="F11:F14"/>
    <mergeCell ref="I14:K14"/>
    <mergeCell ref="L14:N14"/>
    <mergeCell ref="Q14:S14"/>
    <mergeCell ref="T14:V14"/>
    <mergeCell ref="W14:Y14"/>
    <mergeCell ref="Z14:AB14"/>
    <mergeCell ref="H12:H17"/>
    <mergeCell ref="I12:N12"/>
    <mergeCell ref="D15:D18"/>
    <mergeCell ref="E15:E18"/>
    <mergeCell ref="F15:F18"/>
    <mergeCell ref="I17:K17"/>
    <mergeCell ref="L17:N17"/>
    <mergeCell ref="P12:P17"/>
    <mergeCell ref="Q12:AB12"/>
    <mergeCell ref="I13:K13"/>
    <mergeCell ref="L13:N13"/>
    <mergeCell ref="Q13:S13"/>
    <mergeCell ref="T13:V13"/>
    <mergeCell ref="W13:Y13"/>
    <mergeCell ref="Z13:AB13"/>
    <mergeCell ref="T15:V15"/>
    <mergeCell ref="W15:Y15"/>
    <mergeCell ref="Z15:AB15"/>
    <mergeCell ref="I16:K16"/>
    <mergeCell ref="L16:N16"/>
    <mergeCell ref="Q16:S16"/>
    <mergeCell ref="T16:V16"/>
    <mergeCell ref="W16:Y16"/>
    <mergeCell ref="Z16:AB16"/>
    <mergeCell ref="I15:K15"/>
    <mergeCell ref="L15:N15"/>
    <mergeCell ref="D23:D26"/>
    <mergeCell ref="E23:E26"/>
    <mergeCell ref="F23:F26"/>
    <mergeCell ref="V28:W28"/>
    <mergeCell ref="H29:R29"/>
    <mergeCell ref="S29:T29"/>
    <mergeCell ref="V29:W29"/>
    <mergeCell ref="P19:S19"/>
    <mergeCell ref="T19:W19"/>
    <mergeCell ref="H21:H25"/>
    <mergeCell ref="L21:L25"/>
    <mergeCell ref="P21:P25"/>
    <mergeCell ref="T21:T25"/>
    <mergeCell ref="D19:D22"/>
    <mergeCell ref="E19:E22"/>
    <mergeCell ref="F19:F22"/>
    <mergeCell ref="H19:H20"/>
    <mergeCell ref="I19:I20"/>
    <mergeCell ref="J19:J20"/>
    <mergeCell ref="L19:O19"/>
    <mergeCell ref="H30:T30"/>
    <mergeCell ref="V30:W30"/>
    <mergeCell ref="M31:N31"/>
    <mergeCell ref="O31:P31"/>
    <mergeCell ref="V31:W31"/>
    <mergeCell ref="M32:N32"/>
    <mergeCell ref="O32:P32"/>
    <mergeCell ref="S32:T39"/>
    <mergeCell ref="V32:W32"/>
    <mergeCell ref="M33:N33"/>
    <mergeCell ref="M36:N36"/>
    <mergeCell ref="O36:P36"/>
    <mergeCell ref="V36:W36"/>
    <mergeCell ref="M37:N37"/>
    <mergeCell ref="O37:P37"/>
    <mergeCell ref="M38:N38"/>
    <mergeCell ref="O38:P38"/>
    <mergeCell ref="O33:P33"/>
    <mergeCell ref="V33:W33"/>
    <mergeCell ref="M34:N34"/>
    <mergeCell ref="O34:P34"/>
    <mergeCell ref="V34:W34"/>
    <mergeCell ref="M35:N35"/>
    <mergeCell ref="O35:P35"/>
    <mergeCell ref="V35:W35"/>
    <mergeCell ref="M39:N39"/>
    <mergeCell ref="O39:P39"/>
    <mergeCell ref="H40:T40"/>
    <mergeCell ref="M41:N41"/>
    <mergeCell ref="O41:P41"/>
    <mergeCell ref="M42:N42"/>
    <mergeCell ref="O42:P42"/>
    <mergeCell ref="S42:T49"/>
    <mergeCell ref="M43:N43"/>
    <mergeCell ref="O43:P43"/>
    <mergeCell ref="M47:N47"/>
    <mergeCell ref="O47:P47"/>
    <mergeCell ref="M48:N48"/>
    <mergeCell ref="O48:P48"/>
    <mergeCell ref="M49:N49"/>
    <mergeCell ref="O49:P49"/>
    <mergeCell ref="M44:N44"/>
    <mergeCell ref="O44:P44"/>
    <mergeCell ref="M45:N45"/>
    <mergeCell ref="O45:P45"/>
    <mergeCell ref="M46:N46"/>
    <mergeCell ref="O46:P46"/>
    <mergeCell ref="M55:N55"/>
    <mergeCell ref="O55:P55"/>
    <mergeCell ref="M56:N56"/>
    <mergeCell ref="O56:P56"/>
    <mergeCell ref="M57:N57"/>
    <mergeCell ref="O57:P57"/>
    <mergeCell ref="H50:T50"/>
    <mergeCell ref="M51:N51"/>
    <mergeCell ref="O51:P51"/>
    <mergeCell ref="M52:N52"/>
    <mergeCell ref="O52:P52"/>
    <mergeCell ref="S52:T59"/>
    <mergeCell ref="M53:N53"/>
    <mergeCell ref="O53:P53"/>
    <mergeCell ref="M54:N54"/>
    <mergeCell ref="O54:P54"/>
    <mergeCell ref="S62:T69"/>
    <mergeCell ref="M63:N63"/>
    <mergeCell ref="O63:P63"/>
    <mergeCell ref="M64:N64"/>
    <mergeCell ref="O64:P64"/>
    <mergeCell ref="M65:N65"/>
    <mergeCell ref="O65:P65"/>
    <mergeCell ref="M66:N66"/>
    <mergeCell ref="M58:N58"/>
    <mergeCell ref="O58:P58"/>
    <mergeCell ref="M59:N59"/>
    <mergeCell ref="O59:P59"/>
    <mergeCell ref="H60:T60"/>
    <mergeCell ref="M61:N61"/>
    <mergeCell ref="O61:P61"/>
    <mergeCell ref="O66:P66"/>
    <mergeCell ref="M67:N67"/>
    <mergeCell ref="O67:P67"/>
    <mergeCell ref="M68:N68"/>
    <mergeCell ref="O68:P68"/>
    <mergeCell ref="M69:N69"/>
    <mergeCell ref="O69:P69"/>
    <mergeCell ref="M62:N62"/>
    <mergeCell ref="O62:P62"/>
    <mergeCell ref="H70:T70"/>
    <mergeCell ref="M71:N71"/>
    <mergeCell ref="O71:P71"/>
    <mergeCell ref="M72:N72"/>
    <mergeCell ref="O72:P72"/>
    <mergeCell ref="S72:T79"/>
    <mergeCell ref="M73:N73"/>
    <mergeCell ref="O73:P73"/>
    <mergeCell ref="M74:N74"/>
    <mergeCell ref="O74:P74"/>
    <mergeCell ref="M78:N78"/>
    <mergeCell ref="O78:P78"/>
    <mergeCell ref="M79:N79"/>
    <mergeCell ref="O79:P79"/>
    <mergeCell ref="M75:N75"/>
    <mergeCell ref="O75:P75"/>
    <mergeCell ref="M76:N76"/>
    <mergeCell ref="O76:P76"/>
    <mergeCell ref="M77:N77"/>
    <mergeCell ref="O77:P77"/>
  </mergeCells>
  <phoneticPr fontId="18" type="noConversion"/>
  <conditionalFormatting sqref="O21:O25">
    <cfRule type="cellIs" dxfId="15" priority="1" operator="greaterThan">
      <formula>0.000003472222222</formula>
    </cfRule>
    <cfRule type="cellIs" dxfId="14" priority="2" operator="lessThan">
      <formula>0.000003472222222</formula>
    </cfRule>
  </conditionalFormatting>
  <conditionalFormatting sqref="S21:S25">
    <cfRule type="cellIs" dxfId="13" priority="3" operator="greaterThan">
      <formula>0.000003472222222</formula>
    </cfRule>
    <cfRule type="cellIs" dxfId="12" priority="4" operator="lessThan">
      <formula>0.000003472222222</formula>
    </cfRule>
  </conditionalFormatting>
  <conditionalFormatting sqref="S32:T39">
    <cfRule type="cellIs" dxfId="11" priority="7" operator="lessThan">
      <formula>0.03</formula>
    </cfRule>
    <cfRule type="cellIs" dxfId="10" priority="8" operator="greaterThan">
      <formula>0.03</formula>
    </cfRule>
  </conditionalFormatting>
  <conditionalFormatting sqref="S42:T49">
    <cfRule type="cellIs" dxfId="9" priority="9" operator="lessThan">
      <formula>0.03</formula>
    </cfRule>
    <cfRule type="cellIs" dxfId="8" priority="10" operator="greaterThan">
      <formula>0.03</formula>
    </cfRule>
  </conditionalFormatting>
  <conditionalFormatting sqref="S52:T59">
    <cfRule type="cellIs" dxfId="7" priority="11" operator="lessThan">
      <formula>0.03</formula>
    </cfRule>
    <cfRule type="cellIs" dxfId="6" priority="12" operator="greaterThan">
      <formula>0.03</formula>
    </cfRule>
  </conditionalFormatting>
  <conditionalFormatting sqref="S62:T69">
    <cfRule type="cellIs" dxfId="5" priority="13" operator="lessThan">
      <formula>0.03</formula>
    </cfRule>
    <cfRule type="cellIs" dxfId="4" priority="14" operator="greaterThan">
      <formula>0.03</formula>
    </cfRule>
  </conditionalFormatting>
  <conditionalFormatting sqref="S72:T79">
    <cfRule type="cellIs" dxfId="3" priority="15" operator="lessThan">
      <formula>0.03</formula>
    </cfRule>
    <cfRule type="cellIs" dxfId="2" priority="16" operator="greaterThan">
      <formula>0.03</formula>
    </cfRule>
  </conditionalFormatting>
  <conditionalFormatting sqref="W21:W25">
    <cfRule type="cellIs" dxfId="1" priority="5" operator="greaterThan">
      <formula>0.000003472222222</formula>
    </cfRule>
    <cfRule type="cellIs" dxfId="0" priority="6" operator="lessThan">
      <formula>0.000003472222222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秒差與比例尺驗證模板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高郁承</dc:creator>
  <cp:lastModifiedBy>Yckao[高郁承]</cp:lastModifiedBy>
  <dcterms:created xsi:type="dcterms:W3CDTF">2023-08-14T09:11:04Z</dcterms:created>
  <dcterms:modified xsi:type="dcterms:W3CDTF">2026-07-07T06:21:25Z</dcterms:modified>
</cp:coreProperties>
</file>